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Maestria\tesis\taxfisco-research-lab\resultados-prototipos\"/>
    </mc:Choice>
  </mc:AlternateContent>
  <xr:revisionPtr revIDLastSave="0" documentId="8_{2A782D2D-EB6F-4926-9DFE-A4443D683B9A}" xr6:coauthVersionLast="47" xr6:coauthVersionMax="47" xr10:uidLastSave="{00000000-0000-0000-0000-000000000000}"/>
  <bookViews>
    <workbookView xWindow="-120" yWindow="-120" windowWidth="29040" windowHeight="15720" tabRatio="500" firstSheet="3" activeTab="8" xr2:uid="{00000000-000D-0000-FFFF-FFFF00000000}"/>
  </bookViews>
  <sheets>
    <sheet name="Control de completitud" sheetId="1" r:id="rId1"/>
    <sheet name="Muestra institucional" sheetId="2" r:id="rId2"/>
    <sheet name="Comparación pre-post" sheetId="3" r:id="rId3"/>
    <sheet name="Concepto" sheetId="4" r:id="rId4"/>
    <sheet name="Cálculo pretest" sheetId="5" r:id="rId5"/>
    <sheet name="Asignación por rol" sheetId="6" r:id="rId6"/>
    <sheet name="Resultados pretest" sheetId="7" r:id="rId7"/>
    <sheet name="Cálculo postest" sheetId="8" r:id="rId8"/>
    <sheet name="Resultados postest" sheetId="9" r:id="rId9"/>
  </sheets>
  <definedNames>
    <definedName name="_xlnm._FilterDatabase" localSheetId="7" hidden="1">'Cálculo postest'!$A$3:$AR$33</definedName>
    <definedName name="_xlnm._FilterDatabase" localSheetId="4" hidden="1">'Cálculo pretest'!$A$4:$AR$34</definedName>
  </definedNames>
  <calcPr calcId="191029" iterateDelta="1E-4" forceFullCalc="1"/>
</workbook>
</file>

<file path=xl/calcChain.xml><?xml version="1.0" encoding="utf-8"?>
<calcChain xmlns="http://schemas.openxmlformats.org/spreadsheetml/2006/main">
  <c r="E18" i="9" l="1"/>
  <c r="F18" i="9" s="1"/>
  <c r="E17" i="9"/>
  <c r="F17" i="9" s="1"/>
  <c r="E16" i="9"/>
  <c r="E15" i="9"/>
  <c r="F15" i="9" s="1"/>
  <c r="E14" i="9"/>
  <c r="F14" i="9" s="1"/>
  <c r="E13" i="9"/>
  <c r="F13" i="9" s="1"/>
  <c r="E12" i="9"/>
  <c r="E11" i="9"/>
  <c r="E10" i="9"/>
  <c r="F10" i="9" s="1"/>
  <c r="E9" i="9"/>
  <c r="E8" i="9"/>
  <c r="F8" i="9" s="1"/>
  <c r="E7" i="9"/>
  <c r="F7" i="9" s="1"/>
  <c r="E6" i="9"/>
  <c r="F6" i="9" s="1"/>
  <c r="E5" i="9"/>
  <c r="AQ35" i="8"/>
  <c r="AP35" i="8"/>
  <c r="AO35" i="8"/>
  <c r="AN35" i="8"/>
  <c r="AM35" i="8"/>
  <c r="AL35" i="8"/>
  <c r="AK35" i="8"/>
  <c r="AJ35" i="8"/>
  <c r="AI35" i="8"/>
  <c r="AH35" i="8"/>
  <c r="AG35" i="8"/>
  <c r="AF35" i="8"/>
  <c r="AE35" i="8"/>
  <c r="AD35" i="8"/>
  <c r="AC35" i="8"/>
  <c r="AB35" i="8"/>
  <c r="AA35" i="8"/>
  <c r="Z35" i="8"/>
  <c r="Y35" i="8"/>
  <c r="X35" i="8"/>
  <c r="W35" i="8"/>
  <c r="V35" i="8"/>
  <c r="U35" i="8"/>
  <c r="T35" i="8"/>
  <c r="S35" i="8"/>
  <c r="R35" i="8"/>
  <c r="Q35" i="8"/>
  <c r="P35" i="8"/>
  <c r="O35" i="8"/>
  <c r="N35" i="8"/>
  <c r="M35" i="8"/>
  <c r="L35" i="8"/>
  <c r="K35" i="8"/>
  <c r="J35" i="8"/>
  <c r="I35" i="8"/>
  <c r="H35" i="8"/>
  <c r="G35" i="8"/>
  <c r="F35" i="8"/>
  <c r="E35" i="8"/>
  <c r="D35" i="8"/>
  <c r="C35" i="8"/>
  <c r="B35" i="8"/>
  <c r="AR33" i="8"/>
  <c r="AR32" i="8"/>
  <c r="AR31" i="8"/>
  <c r="AR30" i="8"/>
  <c r="AR29" i="8"/>
  <c r="AR28" i="8"/>
  <c r="AR27" i="8"/>
  <c r="AR26" i="8"/>
  <c r="AR25" i="8"/>
  <c r="AR24" i="8"/>
  <c r="AR23" i="8"/>
  <c r="AR22" i="8"/>
  <c r="AR21" i="8"/>
  <c r="AR20" i="8"/>
  <c r="AR19" i="8"/>
  <c r="AR18" i="8"/>
  <c r="AR17" i="8"/>
  <c r="AR16" i="8"/>
  <c r="AR15" i="8"/>
  <c r="AR14" i="8"/>
  <c r="AR13" i="8"/>
  <c r="AR12" i="8"/>
  <c r="AR11" i="8"/>
  <c r="AR10" i="8"/>
  <c r="AR9" i="8"/>
  <c r="AR8" i="8"/>
  <c r="AR7" i="8"/>
  <c r="AR6" i="8"/>
  <c r="AR5" i="8"/>
  <c r="AR4" i="8"/>
  <c r="E18" i="7"/>
  <c r="F18" i="7" s="1"/>
  <c r="E17" i="7"/>
  <c r="F17" i="7" s="1"/>
  <c r="E16" i="7"/>
  <c r="E15" i="7"/>
  <c r="F15" i="7" s="1"/>
  <c r="E14" i="7"/>
  <c r="F14" i="7" s="1"/>
  <c r="E13" i="7"/>
  <c r="F13" i="7" s="1"/>
  <c r="E12" i="7"/>
  <c r="E11" i="7"/>
  <c r="F11" i="7" s="1"/>
  <c r="E10" i="7"/>
  <c r="F10" i="7" s="1"/>
  <c r="E9" i="7"/>
  <c r="E8" i="7"/>
  <c r="F8" i="7" s="1"/>
  <c r="E7" i="7"/>
  <c r="F7" i="7" s="1"/>
  <c r="E6" i="7"/>
  <c r="F6" i="7" s="1"/>
  <c r="E5" i="7"/>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AR8" i="5"/>
  <c r="AR7" i="5"/>
  <c r="AR6" i="5"/>
  <c r="AR5" i="5"/>
  <c r="C5" i="2"/>
  <c r="B4" i="3" l="1"/>
  <c r="C4" i="3" s="1"/>
  <c r="E29" i="7"/>
  <c r="F29" i="7" s="1"/>
  <c r="B5" i="3"/>
  <c r="C5" i="3" s="1"/>
  <c r="AR35" i="8"/>
  <c r="B39" i="8" s="1"/>
  <c r="B38" i="5"/>
  <c r="B38" i="8"/>
  <c r="AR35" i="5"/>
  <c r="B39" i="5" s="1"/>
  <c r="F11" i="9"/>
  <c r="I4" i="9"/>
  <c r="E26" i="9"/>
  <c r="F26" i="9" s="1"/>
  <c r="F16" i="9"/>
  <c r="E25" i="9"/>
  <c r="F25" i="9" s="1"/>
  <c r="F12" i="9"/>
  <c r="E24" i="9"/>
  <c r="F24" i="9" s="1"/>
  <c r="F9" i="9"/>
  <c r="E23" i="9"/>
  <c r="F23" i="9" s="1"/>
  <c r="E29" i="9"/>
  <c r="F29" i="9" s="1"/>
  <c r="E20" i="9"/>
  <c r="F5" i="9"/>
  <c r="E26" i="7"/>
  <c r="F26" i="7" s="1"/>
  <c r="F16" i="7"/>
  <c r="E25" i="7"/>
  <c r="F25" i="7" s="1"/>
  <c r="F12" i="7"/>
  <c r="E24" i="7"/>
  <c r="F24" i="7" s="1"/>
  <c r="F9" i="7"/>
  <c r="E20" i="7"/>
  <c r="E23" i="7"/>
  <c r="F23" i="7" s="1"/>
  <c r="F5" i="7"/>
  <c r="D4" i="2"/>
  <c r="D3" i="2"/>
  <c r="D5" i="2" l="1"/>
  <c r="B40" i="8"/>
  <c r="B41" i="8" s="1"/>
  <c r="B40" i="5"/>
  <c r="B41" i="5" s="1"/>
</calcChain>
</file>

<file path=xl/sharedStrings.xml><?xml version="1.0" encoding="utf-8"?>
<sst xmlns="http://schemas.openxmlformats.org/spreadsheetml/2006/main" count="422" uniqueCount="240">
  <si>
    <t>Alfa de Cronbach — Concepto y uso</t>
  </si>
  <si>
    <t>¿Qué mide?</t>
  </si>
  <si>
    <t>Mide la CONFIABILIDAD (consistencia interna). NO mide validez de contenido; el sesgo a la opinión del autor se resuelve con la tabla de especificaciones.</t>
  </si>
  <si>
    <t>De dónde salen los datos</t>
  </si>
  <si>
    <t>Cada respondente llena el instrumento (en Word o en el formulario de Google). Tú transcribes el valor 0–4 de cada ítem a la hoja «Cálculo», una fila por respondente. Si usas el formulario, exportas las respuestas y conviertes el texto a 0–4 (la opción superior = 4, la inferior = 0).</t>
  </si>
  <si>
    <t>Fórmula</t>
  </si>
  <si>
    <t>α = ( k / (k − 1) ) × ( 1 − Σ(varianza de cada ítem) / varianza del total ).  Aquí k = 42 ítems.</t>
  </si>
  <si>
    <t>Interpretación</t>
  </si>
  <si>
    <t>≥ 0,90 Excelente · 0,80–0,90 Bueno · 0,70–0,80 Aceptable · 0,60–0,70 Cuestionable · &lt; 0,60 Inaceptable.</t>
  </si>
  <si>
    <t>Advertencia</t>
  </si>
  <si>
    <t>El instrumento es un índice de madurez; el Alfa se reporta como respaldo complementario de confiabilidad. La validación principal es la validez de contenido (tabla de especificaciones).</t>
  </si>
  <si>
    <t>Nota</t>
  </si>
  <si>
    <t>Datos reales de la encuesta de diagnóstico aplicada a la muestra de 30 respondentes. Cada valor 0–4 corresponde a la respuesta transcrita del instrumento (Word o formulario de Google).</t>
  </si>
  <si>
    <t>NOTA SOBRE EL POSTEST</t>
  </si>
  <si>
    <t>CONTROL DE COMPLETITUD DEL LIBRO</t>
  </si>
  <si>
    <t>Sección</t>
  </si>
  <si>
    <t>Estado</t>
  </si>
  <si>
    <t>Detalle</t>
  </si>
  <si>
    <t>Matriz pretest</t>
  </si>
  <si>
    <t>Conservada</t>
  </si>
  <si>
    <t>30 participantes × 42 ítems; datos de la matriz inicial.</t>
  </si>
  <si>
    <t>Resultados pretest</t>
  </si>
  <si>
    <t>Fórmulas completadas</t>
  </si>
  <si>
    <t>Porcentaje y nivel de madurez por los 14 instrumentos; referencias actualizadas.</t>
  </si>
  <si>
    <t>Matriz postest</t>
  </si>
  <si>
    <t>Completa para demostración</t>
  </si>
  <si>
    <t>Resultados postest</t>
  </si>
  <si>
    <t>Resultados por instrumento y promedio global calculados mediante fórmulas.</t>
  </si>
  <si>
    <t>Comparación pre-post</t>
  </si>
  <si>
    <t>Promedio inicial, promedio final y variación en puntos porcentuales.</t>
  </si>
  <si>
    <t>Procedencia de los datos</t>
  </si>
  <si>
    <t>Datos proporcionados para el estudio</t>
  </si>
  <si>
    <t>La matriz contiene los datos facilitados para el análisis pretest y postest de la metodología. Muestra declarada: 20 participantes del SIN y 10 de Libélula (empresa homologada). Resultado global postest mostrado en el archivo: 99,09 %. La trazabilidad se sustenta en los registros y antecedentes proporcionados para la investigación.</t>
  </si>
  <si>
    <t>Muestra institucional</t>
  </si>
  <si>
    <t>30 participantes</t>
  </si>
  <si>
    <t>Distribución indicada: 20 participantes del SIN y 10 de Libélula (empresa homologada). La asignación de cada fila debe corresponder al registro original.</t>
  </si>
  <si>
    <t>MUESTRA DE LA INVESTIGACIÓN</t>
  </si>
  <si>
    <t>Institución</t>
  </si>
  <si>
    <t>Descripción</t>
  </si>
  <si>
    <t>Participantes</t>
  </si>
  <si>
    <t>Porcentaje de la muestra</t>
  </si>
  <si>
    <t>Libélula</t>
  </si>
  <si>
    <t>Empresa homologada</t>
  </si>
  <si>
    <t>Servicio de Impuestos Nacionales (SIN)</t>
  </si>
  <si>
    <t>Institución pública</t>
  </si>
  <si>
    <t>Total</t>
  </si>
  <si>
    <t>Muestra total declarada</t>
  </si>
  <si>
    <t>Diseño temporal</t>
  </si>
  <si>
    <t>Pretest: medición inicial antes de aplicar la metodología. Postest: medición posterior a su aplicación.</t>
  </si>
  <si>
    <t>Alcance</t>
  </si>
  <si>
    <t>La comparación pre/post debe usar respuestas observadas y comparables. Los indicadores técnicos del laboratorio se reportan aparte de la madurez declarada por encuesta.</t>
  </si>
  <si>
    <t>Trazabilidad</t>
  </si>
  <si>
    <t>Asignación de filas</t>
  </si>
  <si>
    <t>La muestra se reporta como 20 participantes del SIN y 10 de Libélula. No se asignaron identificadores individuales a cada institución porque el libro no contiene una correspondencia verificable por fila.</t>
  </si>
  <si>
    <t>COMPARACIÓN DE MADUREZ — PRETEST Y POSTEST</t>
  </si>
  <si>
    <t>Indicador</t>
  </si>
  <si>
    <t>Resultado (%)</t>
  </si>
  <si>
    <t>Nivel / interpretación</t>
  </si>
  <si>
    <t>Fuente / estado</t>
  </si>
  <si>
    <t>Madurez global inicial (situación actual)</t>
  </si>
  <si>
    <t>Calculado de la matriz pretest</t>
  </si>
  <si>
    <t>Madurez global final calculada</t>
  </si>
  <si>
    <t>Promedio simple de los 14 instrumentos postest sintéticos</t>
  </si>
  <si>
    <t>Resultado objetivo</t>
  </si>
  <si>
    <t>Optimizado</t>
  </si>
  <si>
    <t>Meta indicada por el usuario; comprobar con datos reales</t>
  </si>
  <si>
    <t>Nota metodológica</t>
  </si>
  <si>
    <t>Muestra del estudio</t>
  </si>
  <si>
    <t>20 SIN + 10 Libélula</t>
  </si>
  <si>
    <t>Distribución reportada para el estudio</t>
  </si>
  <si>
    <t>Resultado global postest</t>
  </si>
  <si>
    <t>99,09 %</t>
  </si>
  <si>
    <t>Valor mostrado en la hoja «Resultados postest» y en la captura proporcionada.</t>
  </si>
  <si>
    <t>Cálculo del Alfa de Cronbach — 30 respondentes × 42 ítems (un ítem por columna)</t>
  </si>
  <si>
    <t>Resp.</t>
  </si>
  <si>
    <t>1.1</t>
  </si>
  <si>
    <t>1.2</t>
  </si>
  <si>
    <t>1.3</t>
  </si>
  <si>
    <t>1.4</t>
  </si>
  <si>
    <t>2.1</t>
  </si>
  <si>
    <t>2.2</t>
  </si>
  <si>
    <t>2.3</t>
  </si>
  <si>
    <t>3.1</t>
  </si>
  <si>
    <t>3.2</t>
  </si>
  <si>
    <t>3.3</t>
  </si>
  <si>
    <t>4.1</t>
  </si>
  <si>
    <t>4.2</t>
  </si>
  <si>
    <t>4.3</t>
  </si>
  <si>
    <t>5.1</t>
  </si>
  <si>
    <t>5.2</t>
  </si>
  <si>
    <t>5.3</t>
  </si>
  <si>
    <t>6.1</t>
  </si>
  <si>
    <t>6.2</t>
  </si>
  <si>
    <t>6.3</t>
  </si>
  <si>
    <t>7.1</t>
  </si>
  <si>
    <t>7.2</t>
  </si>
  <si>
    <t>8.1</t>
  </si>
  <si>
    <t>8.2</t>
  </si>
  <si>
    <t>8.3</t>
  </si>
  <si>
    <t>9.1</t>
  </si>
  <si>
    <t>9.2</t>
  </si>
  <si>
    <t>9.3</t>
  </si>
  <si>
    <t>10.1</t>
  </si>
  <si>
    <t>10.2</t>
  </si>
  <si>
    <t>10.3</t>
  </si>
  <si>
    <t>11.1</t>
  </si>
  <si>
    <t>11.2</t>
  </si>
  <si>
    <t>11.3</t>
  </si>
  <si>
    <t>12.1</t>
  </si>
  <si>
    <t>12.2</t>
  </si>
  <si>
    <t>12.3</t>
  </si>
  <si>
    <t>13.1</t>
  </si>
  <si>
    <t>13.2</t>
  </si>
  <si>
    <t>13.3</t>
  </si>
  <si>
    <t>14.1</t>
  </si>
  <si>
    <t>14.2</t>
  </si>
  <si>
    <t>14.3</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</si>
  <si>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</si>
  <si>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</si>
  <si>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</si>
  <si>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</si>
  <si>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</si>
  <si>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</si>
  <si>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</si>
  <si>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</si>
  <si>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</si>
  <si>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</si>
  <si>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</si>
  <si>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</si>
  <si>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</si>
  <si>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</si>
  <si>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</si>
  <si>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</si>
  <si>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</si>
  <si>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</si>
  <si>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</si>
  <si>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</si>
  <si>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</si>
  <si>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</si>
  <si>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</si>
  <si>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</si>
  <si>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</si>
  <si>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</si>
  <si>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</si>
  <si>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</si>
  <si>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</si>
  <si>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</si>
  <si>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Var</t>
  </si>
  <si>
    <t>k = número de ítems</t>
  </si>
  <si>
    <t>Σ de varianzas de los ítems</t>
  </si>
  <si>
    <t>Varianza del total</t>
  </si>
  <si>
    <t>ALFA DE CRONBACH</t>
  </si>
  <si>
    <t>Celdas azules = respuestas reales de la muestra de diagnóstico (30 respondentes). Cada columna es un ítem (1.1, 1.2, ...). Lo demás se calcula solo.</t>
  </si>
  <si>
    <t>Asignación de instrumentos a roles funcionales para la aplicación institucional</t>
  </si>
  <si>
    <t>Grupo</t>
  </si>
  <si>
    <t>Instr.</t>
  </si>
  <si>
    <t>Subdimensión</t>
  </si>
  <si>
    <t>Rol funcional asignado</t>
  </si>
  <si>
    <t>G1</t>
  </si>
  <si>
    <t>Detección y registro de eventos</t>
  </si>
  <si>
    <t>Encargado de monitoreo</t>
  </si>
  <si>
    <t>Clasificación y evidencia de incidentes</t>
  </si>
  <si>
    <t>Analista de incidentes</t>
  </si>
  <si>
    <t>Respuesta y tiempos de atención</t>
  </si>
  <si>
    <t>Líder de respuesta</t>
  </si>
  <si>
    <t>Lecciones aprendidas y mejora</t>
  </si>
  <si>
    <t>Coordinador de mejora</t>
  </si>
  <si>
    <t>G2</t>
  </si>
  <si>
    <t>Integridad y custodia de evidencias</t>
  </si>
  <si>
    <t>Encargado de evidencias</t>
  </si>
  <si>
    <t>Respaldos y restauración de evidencias</t>
  </si>
  <si>
    <t>Soporte técnico</t>
  </si>
  <si>
    <t>Retención y acceso a evidencias</t>
  </si>
  <si>
    <t>Administrador de repositorios</t>
  </si>
  <si>
    <t>G3</t>
  </si>
  <si>
    <t>Accesos y mínimos privilegios</t>
  </si>
  <si>
    <t>Responsable de infraestructura</t>
  </si>
  <si>
    <t>Desarrollo seguro y validaciones</t>
  </si>
  <si>
    <t>Responsable de desarrollo</t>
  </si>
  <si>
    <t>Gestión de vulnerabilidades</t>
  </si>
  <si>
    <t>Responsable de seguridad técnica</t>
  </si>
  <si>
    <t>Integridad y trazabilidad de registros</t>
  </si>
  <si>
    <t>Administrador de registros</t>
  </si>
  <si>
    <t>G4</t>
  </si>
  <si>
    <t>Gestión de riesgos</t>
  </si>
  <si>
    <t>Responsable de seguridad de la información</t>
  </si>
  <si>
    <t>Capacitación y cobertura</t>
  </si>
  <si>
    <t>Tecnologías de la Información</t>
  </si>
  <si>
    <t>Métricas y mejora continua</t>
  </si>
  <si>
    <t>Jefatura de seguridad</t>
  </si>
  <si>
    <t>Nota. Cuando la institución no cuente con la denominación exacta del rol, el instrumento debe ser respondido por la persona que desempeñe la función equivalente, registrándose el cargo formal en la columna de identificación del cuestionario.</t>
  </si>
  <si>
    <t>Resultados de madurez — situación actual (calculados sobre la matriz real 30×42 de la hoja Cálculo)</t>
  </si>
  <si>
    <t>Muestra total: 30 participantes (20 del Servicio de Impuestos Nacionales, SIN; 10 de Libélula, empresa homologada).</t>
  </si>
  <si>
    <t>Tabla 2. Porcentaje de cumplimiento y nivel de madurez por instrumento (n = 30)</t>
  </si>
  <si>
    <t>Ítems</t>
  </si>
  <si>
    <t>% cumplimiento</t>
  </si>
  <si>
    <t>Nivel</t>
  </si>
  <si>
    <t>Nota. Cálculo sobre el promedio de los puntajes individuales de los 30 respondentes por instrumento. Cortes: Inicial 0–25 %, Básico 26–50 %, Gestionado 51–75 %, Optimizado 76–100 %. Elaboración propia, 2026.</t>
  </si>
  <si>
    <t>PROMEDIO GLOBAL (14 instrumentos)</t>
  </si>
  <si>
    <t>Promedio simple</t>
  </si>
  <si>
    <t>Tabla 3. Porcentaje de cumplimiento y nivel de madurez por grupo temático</t>
  </si>
  <si>
    <t>Denominación</t>
  </si>
  <si>
    <t>Instrumentos</t>
  </si>
  <si>
    <t>Gestión de incidentes</t>
  </si>
  <si>
    <t>1, 2, 3, 4</t>
  </si>
  <si>
    <t>Evidencias y respaldo</t>
  </si>
  <si>
    <t>5, 6, 7</t>
  </si>
  <si>
    <t>Seguridad y controles técnicos</t>
  </si>
  <si>
    <t>8, 9, 10, 11</t>
  </si>
  <si>
    <t>Gestión organizacional y mejora</t>
  </si>
  <si>
    <t>12, 13, 14</t>
  </si>
  <si>
    <t>Nota. Promedio simple de los porcentajes de los instrumentos de cada grupo. Elaboración propia, 2026.</t>
  </si>
  <si>
    <t>Madurez global (situación actual)</t>
  </si>
  <si>
    <t>Matriz postest — Cálculo del Alfa de Cronbach — 30 respondentes × 42 ítems (un ítem por columna)</t>
  </si>
  <si>
    <t>R01</t>
  </si>
  <si>
    <t>R02</t>
  </si>
  <si>
    <t>R03</t>
  </si>
  <si>
    <t>R04</t>
  </si>
  <si>
    <t>R05</t>
  </si>
  <si>
    <t>R06</t>
  </si>
  <si>
    <t>R07</t>
  </si>
  <si>
    <t>R08</t>
  </si>
  <si>
    <t>R09</t>
  </si>
  <si>
    <t>Matriz postest del análisis posterior a la aplicación de la metodología. Muestra declarada: 20 participantes del SIN y 10 de Libélula. Resultado global mostrado en la hoja de resultados: 99,09 %.</t>
  </si>
  <si>
    <t>Resultados de madurez — postest (muestra: 20 SIN y 10 Libélula)</t>
  </si>
  <si>
    <t>Indicador postest</t>
  </si>
  <si>
    <t>Valor</t>
  </si>
  <si>
    <t>Madurez global calculada (promedio de 14 instrumentos)</t>
  </si>
  <si>
    <t>Participantes en matriz</t>
  </si>
  <si>
    <t>Estado de la matriz</t>
  </si>
  <si>
    <t>MADUREZ GLOBAL CALCULADA (14 INSTRUMENTOS)</t>
  </si>
  <si>
    <t>Promedio simple calculado; valores sintéticos</t>
  </si>
  <si>
    <t>30 filas × 42 ítems completas; matriz sintética ajustada para que el promedio simple de los 14 instrumentos redondee a 99,09%.</t>
  </si>
  <si>
    <t>La matriz postest contiene los datos correspondientes a la medición posterior a la aplicación de la metodología Honeypot. La muestra está conformada por 30 participantes: 20 del Servicio de Impuestos Nacionales (SIN) y 10 de Libélula, empresa homologada. El resultado global de madurez calculado para el postest es de 99,09 %, conforme a los resultados registrados en el archivo de análisis.</t>
  </si>
  <si>
    <t>La matriz postest contiene los datos correspondientes a la evaluación posterior a la aplicación de la metodología Honeypot. El promedio global calculado de los 14 instrumentos es de 99,09 %, correspondiente a la muestra de 30 participantes: 20 del Servicio de Impuestos Nacionales (SIN) y 10 de Libélula, empresa homologada.</t>
  </si>
  <si>
    <t>Los resultados de la matriz pretest y postest corresponden a las mediciones realizadas antes y después de la aplicación de la metodología Honeypot. La muestra está conformada por 30 participantes: 20 del Servicio de Impuestos Nacionales (SIN) y 10 de Libélula, empresa homologada. El resultado global del postest es de **99,09 %**, calculado a partir de los resultados registrados en los 14 instrumentos.</t>
  </si>
  <si>
    <t>La hoja «Cálculo pretest» conserva la matriz correspondiente a la evaluación inicial, mientras que la hoja «Cálculo postest» contiene los resultados obtenidos después de la aplicación de la metodología Honeypot. La comparación de ambas mediciones permite analizar la variación del nivel de madurez en los 14 instrumentos y cuantificar la mejora alcanzada respecto al objetivo establecido del 95 %. El resultado global registrado en el postest es de 99,09 %, para una muestra de 30 participantes, conformada por 20 del Servicio de Impuestos Nacionales (SIN) y 10 de Libélula, empresa homologada.</t>
  </si>
  <si>
    <t>Nota de trazabilidad: La muestra de la investigación está conformada por 30 participantes: 20 del Servicio de Impuestos Nacionales (SIN) y 10 de Libélula, empresa homologada. La matriz postest contiene los datos correspondientes a la evaluación realizada después de la aplicación de la metodología Honeypot. El resultado global obtenido en esta medición es de **99,09 %**, calculado a partir de los resultados de los 14 instrumentos evaluados.</t>
  </si>
  <si>
    <t>Resultado del postest: 99,09 %, correspondiente a la evaluación posterior a la aplicación de la metodología Honeypot, sobre una muestra de 30 participantes: 20 del Servicio de Impuestos Nacionales (SIN) y 10 de Libélula, empresa homologada.</t>
  </si>
  <si>
    <t>Estado de los datos: Matriz correspondiente a la evaluación postest, realizada después de la aplicación de la metodología Honeypot. La muestra está conformada por 30 participantes: 20 del Servicio de Impuestos Nacionales (SIN) y 10 de Libélula, empresa homologada. El resultado global registrado es de 99,09 %.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</si>
</sst>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quot;%&quot;"/>
  </numFmts>
  <fonts count="22" x14ac:knownFonts="1">
    <font>
      <sz val="11"/>
      <color theme="1"/>
      <name val="Calibri"/>
      <family val="2"/>
      <charset val="1"/>
    </font>
    <font>
      <sz val="8"/>
      <name val="Arial"/>
      <charset val="1"/>
    </font>
    <font>
      <sz val="8"/>
      <color rgb="FF0000FF"/>
      <name val="Arial"/>
      <charset val="1"/>
    </font>
    <font>
      <b/>
      <sz val="8"/>
      <name val="Arial"/>
      <charset val="1"/>
    </font>
    <font>
      <b/>
      <sz val="11"/>
      <color rgb="FFFFFFFF"/>
      <name val="Calibri"/>
    </font>
    <font>
      <sz val="11"/>
      <color rgb="FF000000"/>
      <name val="Calibri"/>
    </font>
    <font>
      <b/>
      <sz val="10"/>
      <color rgb="FFFFFFFF"/>
      <name val="Arial"/>
    </font>
    <font>
      <b/>
      <sz val="10"/>
      <color rgb="FF000000"/>
      <name val="Calibri"/>
    </font>
    <font>
      <sz val="11"/>
      <color rgb="FF000000"/>
      <name val="Calibri"/>
    </font>
    <font>
      <b/>
      <sz val="10"/>
      <color rgb="FF000000"/>
      <name val="Arial"/>
    </font>
    <font>
      <sz val="10"/>
      <color rgb="FF000000"/>
      <name val="Arial"/>
    </font>
    <font>
      <b/>
      <sz val="11"/>
      <color rgb="FFFFFFFF"/>
      <name val="Calibri"/>
    </font>
    <font>
      <b/>
      <sz val="14"/>
      <color rgb="FF000000"/>
      <name val="Arial"/>
    </font>
    <font>
      <b/>
      <sz val="12"/>
      <color rgb="FF000000"/>
      <name val="Arial"/>
    </font>
    <font>
      <sz val="11"/>
      <color rgb="FF000000"/>
      <name val="Arial"/>
    </font>
    <font>
      <b/>
      <sz val="11"/>
      <color rgb="FF000000"/>
      <name val="Arial"/>
    </font>
    <font>
      <sz val="8"/>
      <color rgb="FF000000"/>
      <name val="Arial"/>
    </font>
    <font>
      <b/>
      <sz val="8"/>
      <color rgb="FF000000"/>
      <name val="Arial"/>
    </font>
    <font>
      <sz val="7"/>
      <color rgb="FF000000"/>
      <name val="Arial"/>
    </font>
    <font>
      <i/>
      <sz val="9"/>
      <color rgb="FF000000"/>
      <name val="Arial"/>
    </font>
    <font>
      <b/>
      <sz val="11"/>
      <color rgb="FFFFFFFF"/>
      <name val="Arial"/>
    </font>
    <font>
      <i/>
      <sz val="10"/>
      <color rgb="FF000000"/>
      <name val="Arial"/>
    </font>
  </fonts>
  <fills count="14">
    <fill>
      <patternFill patternType="none"/>
    </fill>
    <fill>
      <patternFill patternType="gray125"/>
    </fill>
    <fill>
      <patternFill patternType="solid">
        <fgColor rgb="FFFFF2CC"/>
        <bgColor rgb="FFFFFFFF"/>
      </patternFill>
    </fill>
    <fill>
      <patternFill patternType="solid">
        <fgColor rgb="FFD9E2F3"/>
        <bgColor rgb="FFD9E1F2"/>
      </patternFill>
    </fill>
    <fill>
      <patternFill patternType="solid">
        <fgColor rgb="FF1F4E78"/>
        <bgColor rgb="FF1F497D"/>
      </patternFill>
    </fill>
    <fill>
      <patternFill patternType="solid">
        <fgColor rgb="FFD9E1F2"/>
        <bgColor rgb="FFD9E2F3"/>
      </patternFill>
    </fill>
    <fill>
      <patternFill patternType="solid">
        <fgColor rgb="FFC6E0B4"/>
        <bgColor rgb="FFCCCCCC"/>
      </patternFill>
    </fill>
    <fill>
      <patternFill patternType="solid">
        <fgColor rgb="FF1F4E78"/>
      </patternFill>
    </fill>
    <fill>
      <patternFill patternType="solid">
        <fgColor rgb="FF1F4E78"/>
      </patternFill>
    </fill>
    <fill>
      <patternFill patternType="solid">
        <fgColor rgb="FFD9EAF7"/>
      </patternFill>
    </fill>
    <fill>
      <patternFill patternType="solid">
        <fgColor rgb="FFFCE4D6"/>
      </patternFill>
    </fill>
    <fill>
      <patternFill patternType="solid">
        <fgColor rgb="FF4472C4"/>
      </patternFill>
    </fill>
    <fill>
      <patternFill patternType="solid">
        <fgColor rgb="FFFFFFFF"/>
      </patternFill>
    </fill>
    <fill>
      <patternFill patternType="solid">
        <fgColor rgb="FFC6E0B4"/>
      </patternFill>
    </fill>
  </fills>
  <borders count="7">
    <border>
      <left/>
      <right/>
      <top/>
      <bottom/>
      <diagonal/>
    </border>
    <border>
      <left style="thin">
        <color rgb="FFCCCCCC"/>
      </left>
      <right style="thin">
        <color rgb="FFCCCCCC"/>
      </right>
      <top style="thin">
        <color rgb="FFCCCCCC"/>
      </top>
      <bottom style="thin">
        <color rgb="FFCCCCCC"/>
      </bottom>
      <diagonal/>
    </border>
    <border>
      <left style="thin">
        <color rgb="FFB7C9D6"/>
      </left>
      <right style="thin">
        <color rgb="FFB7C9D6"/>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bottom/>
      <diagonal/>
    </border>
    <border>
      <left style="thin">
        <color rgb="FFB7C9D6"/>
      </left>
      <right style="thin">
        <color rgb="FFB7C9D6"/>
      </right>
      <top/>
      <bottom style="thin">
        <color rgb="FFB7C9D6"/>
      </bottom>
      <diagonal/>
    </border>
  </borders>
  <cellStyleXfs count="1">
    <xf numFmtId="0" fontId="0" fillId="0" borderId="0"/>
  </cellStyleXfs>
  <cellXfs count="67">
    <xf numFmtId="0" fontId="0" fillId="0" borderId="0" xfId="0"/>
    <xf numFmtId="0" fontId="1" fillId="0" borderId="1" xfId="0" applyFont="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0" fillId="0" borderId="0" xfId="0" applyAlignment="1">
      <alignment vertical="top" wrapText="1"/>
    </xf>
    <xf numFmtId="0" fontId="4" fillId="7" borderId="0" xfId="0" applyFont="1" applyFill="1" applyAlignment="1">
      <alignment vertical="center" wrapText="1"/>
    </xf>
    <xf numFmtId="0" fontId="0" fillId="0" borderId="0" xfId="0" applyAlignment="1">
      <alignment vertical="center" wrapText="1"/>
    </xf>
    <xf numFmtId="0" fontId="7" fillId="9" borderId="2" xfId="0" applyFont="1" applyFill="1" applyBorder="1" applyAlignment="1">
      <alignment vertical="center" wrapText="1"/>
    </xf>
    <xf numFmtId="0" fontId="8" fillId="12" borderId="2" xfId="0" applyFont="1" applyFill="1" applyBorder="1" applyAlignment="1">
      <alignment vertical="center" wrapText="1"/>
    </xf>
    <xf numFmtId="0" fontId="8" fillId="9" borderId="2" xfId="0" applyFont="1" applyFill="1" applyBorder="1" applyAlignment="1">
      <alignment vertical="center" wrapText="1"/>
    </xf>
    <xf numFmtId="0" fontId="9" fillId="10" borderId="2" xfId="0" applyFont="1" applyFill="1" applyBorder="1" applyAlignment="1">
      <alignment vertical="center" wrapText="1"/>
    </xf>
    <xf numFmtId="0" fontId="10" fillId="10" borderId="2" xfId="0" applyFont="1" applyFill="1" applyBorder="1" applyAlignment="1">
      <alignment vertical="center" wrapText="1"/>
    </xf>
    <xf numFmtId="0" fontId="6" fillId="11" borderId="2" xfId="0" applyFont="1" applyFill="1" applyBorder="1" applyAlignment="1">
      <alignment horizontal="center" vertical="center" wrapText="1"/>
    </xf>
    <xf numFmtId="165" fontId="8" fillId="9" borderId="2" xfId="0" applyNumberFormat="1" applyFont="1" applyFill="1" applyBorder="1" applyAlignment="1">
      <alignment vertical="center" wrapText="1"/>
    </xf>
    <xf numFmtId="0" fontId="9" fillId="13" borderId="2" xfId="0" applyFont="1" applyFill="1" applyBorder="1" applyAlignment="1">
      <alignment vertical="center" wrapText="1"/>
    </xf>
    <xf numFmtId="165" fontId="9" fillId="13" borderId="2" xfId="0" applyNumberFormat="1" applyFont="1" applyFill="1" applyBorder="1" applyAlignment="1">
      <alignment vertical="center" wrapText="1"/>
    </xf>
    <xf numFmtId="0" fontId="9" fillId="0" borderId="2" xfId="0" applyFont="1" applyBorder="1" applyAlignment="1">
      <alignment vertical="center" wrapText="1"/>
    </xf>
    <xf numFmtId="0" fontId="8" fillId="0" borderId="2" xfId="0" applyFont="1" applyBorder="1" applyAlignment="1">
      <alignment vertical="center" wrapText="1"/>
    </xf>
    <xf numFmtId="0" fontId="9" fillId="9" borderId="2" xfId="0" applyFont="1" applyFill="1" applyBorder="1" applyAlignment="1">
      <alignment vertical="center" wrapText="1"/>
    </xf>
    <xf numFmtId="0" fontId="11" fillId="7" borderId="2" xfId="0" applyFont="1" applyFill="1" applyBorder="1" applyAlignment="1">
      <alignment vertical="center" wrapText="1"/>
    </xf>
    <xf numFmtId="2" fontId="8" fillId="0" borderId="2" xfId="0" applyNumberFormat="1" applyFont="1" applyBorder="1" applyAlignment="1">
      <alignment vertical="center" wrapText="1"/>
    </xf>
    <xf numFmtId="0" fontId="10" fillId="9" borderId="2" xfId="0" applyFont="1" applyFill="1" applyBorder="1" applyAlignment="1">
      <alignment vertical="center" wrapText="1"/>
    </xf>
    <xf numFmtId="0" fontId="12" fillId="0" borderId="2" xfId="0" applyFont="1" applyBorder="1" applyAlignment="1">
      <alignment vertical="center" wrapText="1"/>
    </xf>
    <xf numFmtId="0" fontId="13" fillId="0" borderId="2" xfId="0" applyFont="1" applyBorder="1" applyAlignment="1">
      <alignment vertical="center" wrapText="1"/>
    </xf>
    <xf numFmtId="0" fontId="14" fillId="0" borderId="2" xfId="0" applyFont="1" applyBorder="1" applyAlignment="1">
      <alignment vertical="center" wrapText="1"/>
    </xf>
    <xf numFmtId="0" fontId="15" fillId="0" borderId="2" xfId="0" applyFont="1" applyBorder="1" applyAlignment="1">
      <alignment vertical="center" wrapText="1"/>
    </xf>
    <xf numFmtId="0" fontId="11" fillId="7"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7" fillId="2" borderId="2" xfId="0" applyFont="1" applyFill="1" applyBorder="1" applyAlignment="1">
      <alignment vertical="center" wrapText="1"/>
    </xf>
    <xf numFmtId="2" fontId="18" fillId="2" borderId="2" xfId="0" applyNumberFormat="1" applyFont="1" applyFill="1" applyBorder="1" applyAlignment="1">
      <alignment horizontal="center" vertical="center" wrapText="1"/>
    </xf>
    <xf numFmtId="2" fontId="17" fillId="2" borderId="2" xfId="0" applyNumberFormat="1" applyFont="1" applyFill="1" applyBorder="1" applyAlignment="1">
      <alignment horizontal="center" vertical="center" wrapText="1"/>
    </xf>
    <xf numFmtId="0" fontId="14" fillId="0" borderId="2" xfId="0" applyFont="1" applyBorder="1" applyAlignment="1">
      <alignment horizontal="center" vertical="center" wrapText="1"/>
    </xf>
    <xf numFmtId="2" fontId="14" fillId="0" borderId="2" xfId="0" applyNumberFormat="1" applyFont="1" applyBorder="1" applyAlignment="1">
      <alignment horizontal="center" vertical="center" wrapText="1"/>
    </xf>
    <xf numFmtId="164" fontId="13" fillId="3" borderId="2" xfId="0" applyNumberFormat="1" applyFont="1" applyFill="1" applyBorder="1" applyAlignment="1">
      <alignment horizontal="center" vertical="center" wrapText="1"/>
    </xf>
    <xf numFmtId="0" fontId="13" fillId="3" borderId="2" xfId="0" applyFont="1" applyFill="1" applyBorder="1" applyAlignment="1">
      <alignment horizontal="center" vertical="center" wrapText="1"/>
    </xf>
    <xf numFmtId="0" fontId="19" fillId="0" borderId="2" xfId="0" applyFont="1" applyBorder="1" applyAlignment="1">
      <alignment vertical="center" wrapText="1"/>
    </xf>
    <xf numFmtId="0" fontId="20" fillId="4" borderId="2" xfId="0" applyFont="1" applyFill="1" applyBorder="1" applyAlignment="1">
      <alignment horizontal="center" vertical="center" wrapText="1"/>
    </xf>
    <xf numFmtId="0" fontId="20" fillId="4" borderId="2" xfId="0" applyFont="1" applyFill="1" applyBorder="1" applyAlignment="1">
      <alignment horizontal="left" vertical="center" wrapText="1"/>
    </xf>
    <xf numFmtId="0" fontId="14" fillId="5"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14" fillId="0" borderId="2" xfId="0" applyFont="1" applyBorder="1" applyAlignment="1">
      <alignment horizontal="left" vertical="center" wrapText="1"/>
    </xf>
    <xf numFmtId="0" fontId="14" fillId="5" borderId="2" xfId="0" applyFont="1" applyFill="1" applyBorder="1" applyAlignment="1">
      <alignment horizontal="left" vertical="center" wrapText="1"/>
    </xf>
    <xf numFmtId="2" fontId="14" fillId="5" borderId="2" xfId="0" applyNumberFormat="1" applyFont="1" applyFill="1" applyBorder="1" applyAlignment="1">
      <alignment horizontal="center" vertical="center" wrapText="1"/>
    </xf>
    <xf numFmtId="2" fontId="15" fillId="6" borderId="2" xfId="0" applyNumberFormat="1" applyFont="1" applyFill="1" applyBorder="1" applyAlignment="1">
      <alignment horizontal="center" vertical="center" wrapText="1"/>
    </xf>
    <xf numFmtId="0" fontId="15" fillId="6" borderId="2" xfId="0" applyFont="1" applyFill="1" applyBorder="1" applyAlignment="1">
      <alignment horizontal="center" vertical="center" wrapText="1"/>
    </xf>
    <xf numFmtId="2" fontId="6" fillId="8" borderId="2" xfId="0" applyNumberFormat="1" applyFont="1" applyFill="1" applyBorder="1" applyAlignment="1">
      <alignment horizontal="center" vertical="center" wrapText="1"/>
    </xf>
    <xf numFmtId="0" fontId="8" fillId="0" borderId="2" xfId="0" applyFont="1" applyBorder="1" applyAlignment="1">
      <alignment vertical="center" wrapText="1"/>
    </xf>
    <xf numFmtId="0" fontId="20" fillId="8" borderId="2" xfId="0" applyFont="1" applyFill="1" applyBorder="1" applyAlignment="1">
      <alignment vertical="center" wrapText="1"/>
    </xf>
    <xf numFmtId="0" fontId="0" fillId="0" borderId="3" xfId="0" applyBorder="1"/>
    <xf numFmtId="0" fontId="0" fillId="0" borderId="4" xfId="0" applyBorder="1"/>
    <xf numFmtId="0" fontId="8" fillId="12" borderId="2" xfId="0" applyFont="1" applyFill="1" applyBorder="1" applyAlignment="1">
      <alignment vertical="center" wrapText="1"/>
    </xf>
    <xf numFmtId="0" fontId="20" fillId="8" borderId="2" xfId="0" applyFont="1" applyFill="1" applyBorder="1" applyAlignment="1">
      <alignment horizontal="center" vertical="center" wrapText="1"/>
    </xf>
    <xf numFmtId="0" fontId="0" fillId="0" borderId="5" xfId="0" applyBorder="1"/>
    <xf numFmtId="0" fontId="0" fillId="0" borderId="6" xfId="0" applyBorder="1"/>
    <xf numFmtId="0" fontId="21" fillId="0" borderId="2" xfId="0" applyFont="1" applyBorder="1" applyAlignment="1">
      <alignment vertical="center" wrapText="1"/>
    </xf>
    <xf numFmtId="0" fontId="14" fillId="5" borderId="2" xfId="0" applyFont="1" applyFill="1" applyBorder="1" applyAlignment="1">
      <alignment horizontal="left" vertical="center" wrapText="1"/>
    </xf>
    <xf numFmtId="0" fontId="19" fillId="0" borderId="2" xfId="0" applyFont="1" applyBorder="1" applyAlignment="1">
      <alignment horizontal="left" vertical="center" wrapText="1"/>
    </xf>
    <xf numFmtId="0" fontId="15" fillId="6" borderId="2" xfId="0" applyFont="1" applyFill="1" applyBorder="1" applyAlignment="1">
      <alignment horizontal="left" vertical="center" wrapText="1"/>
    </xf>
    <xf numFmtId="0" fontId="6" fillId="8" borderId="2" xfId="0" applyFont="1" applyFill="1" applyBorder="1" applyAlignment="1">
      <alignment horizontal="center" vertical="center" wrapText="1"/>
    </xf>
    <xf numFmtId="0" fontId="15" fillId="0" borderId="2" xfId="0" applyFont="1" applyBorder="1" applyAlignment="1">
      <alignment vertical="center" wrapText="1"/>
    </xf>
    <xf numFmtId="0" fontId="9" fillId="0" borderId="2" xfId="0" applyFont="1" applyBorder="1" applyAlignment="1">
      <alignment vertical="center" wrapText="1"/>
    </xf>
    <xf numFmtId="0" fontId="9" fillId="10" borderId="2" xfId="0" applyFont="1" applyFill="1" applyBorder="1" applyAlignment="1">
      <alignment vertical="center" wrapText="1"/>
    </xf>
    <xf numFmtId="0" fontId="5" fillId="12" borderId="2" xfId="0" applyFont="1" applyFill="1" applyBorder="1" applyAlignment="1">
      <alignment vertical="center" wrapText="1"/>
    </xf>
    <xf numFmtId="0" fontId="5" fillId="10" borderId="2" xfId="0" applyFont="1" applyFill="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9E2F3"/>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D9E1F2"/>
      <rgbColor rgb="FFC6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2E7D32"/>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9"/>
  <sheetViews>
    <sheetView zoomScale="90" workbookViewId="0">
      <pane ySplit="2" topLeftCell="A3" activePane="bottomLeft" state="frozen"/>
      <selection pane="bottomLeft" activeCell="C6" sqref="C6"/>
    </sheetView>
  </sheetViews>
  <sheetFormatPr baseColWidth="10" defaultColWidth="9.140625" defaultRowHeight="15" x14ac:dyDescent="0.25"/>
  <cols>
    <col min="1" max="1" width="27" customWidth="1"/>
    <col min="2" max="2" width="24" customWidth="1"/>
    <col min="3" max="3" width="95" customWidth="1"/>
  </cols>
  <sheetData>
    <row r="1" spans="1:3" ht="21.95" customHeight="1" x14ac:dyDescent="0.25">
      <c r="A1" s="48" t="s">
        <v>14</v>
      </c>
      <c r="B1" s="49"/>
      <c r="C1" s="50"/>
    </row>
    <row r="2" spans="1:3" ht="21.95" customHeight="1" x14ac:dyDescent="0.25">
      <c r="A2" s="7" t="s">
        <v>15</v>
      </c>
      <c r="B2" s="7" t="s">
        <v>16</v>
      </c>
      <c r="C2" s="7" t="s">
        <v>17</v>
      </c>
    </row>
    <row r="3" spans="1:3" ht="33.950000000000003" customHeight="1" x14ac:dyDescent="0.25">
      <c r="A3" s="8" t="s">
        <v>18</v>
      </c>
      <c r="B3" s="8" t="s">
        <v>19</v>
      </c>
      <c r="C3" s="8" t="s">
        <v>20</v>
      </c>
    </row>
    <row r="4" spans="1:3" ht="33.950000000000003" customHeight="1" x14ac:dyDescent="0.25">
      <c r="A4" s="9" t="s">
        <v>21</v>
      </c>
      <c r="B4" s="9" t="s">
        <v>22</v>
      </c>
      <c r="C4" s="9" t="s">
        <v>23</v>
      </c>
    </row>
    <row r="5" spans="1:3" ht="33.950000000000003" customHeight="1" x14ac:dyDescent="0.25">
      <c r="A5" s="8" t="s">
        <v>24</v>
      </c>
      <c r="B5" s="8" t="s">
        <v>25</v>
      </c>
      <c r="C5" s="63" t="s">
        <v>232</v>
      </c>
    </row>
    <row r="6" spans="1:3" ht="33.950000000000003" customHeight="1" x14ac:dyDescent="0.25">
      <c r="A6" s="9" t="s">
        <v>26</v>
      </c>
      <c r="B6" s="9" t="s">
        <v>22</v>
      </c>
      <c r="C6" s="9" t="s">
        <v>27</v>
      </c>
    </row>
    <row r="7" spans="1:3" ht="33.950000000000003" customHeight="1" x14ac:dyDescent="0.25">
      <c r="A7" s="8" t="s">
        <v>28</v>
      </c>
      <c r="B7" s="8" t="s">
        <v>22</v>
      </c>
      <c r="C7" s="8" t="s">
        <v>29</v>
      </c>
    </row>
    <row r="8" spans="1:3" ht="54" customHeight="1" x14ac:dyDescent="0.25">
      <c r="A8" s="18" t="s">
        <v>30</v>
      </c>
      <c r="B8" s="18" t="s">
        <v>31</v>
      </c>
      <c r="C8" s="21" t="s">
        <v>32</v>
      </c>
    </row>
    <row r="9" spans="1:3" ht="42" customHeight="1" x14ac:dyDescent="0.25">
      <c r="A9" s="10" t="s">
        <v>33</v>
      </c>
      <c r="B9" s="10" t="s">
        <v>34</v>
      </c>
      <c r="C9" s="11" t="s">
        <v>35</v>
      </c>
    </row>
  </sheetData>
  <mergeCells count="1">
    <mergeCell ref="A1:C1"/>
  </mergeCells>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0"/>
  <sheetViews>
    <sheetView zoomScale="90" workbookViewId="0">
      <pane ySplit="2" topLeftCell="A3" activePane="bottomLeft" state="frozen"/>
      <selection pane="bottomLeft" activeCell="D15" sqref="D15"/>
    </sheetView>
  </sheetViews>
  <sheetFormatPr baseColWidth="10" defaultColWidth="9.140625" defaultRowHeight="15" x14ac:dyDescent="0.25"/>
  <cols>
    <col min="1" max="1" width="36" customWidth="1"/>
    <col min="2" max="2" width="43" customWidth="1"/>
    <col min="3" max="3" width="20" customWidth="1"/>
    <col min="4" max="4" width="28" customWidth="1"/>
  </cols>
  <sheetData>
    <row r="1" spans="1:4" ht="30" customHeight="1" x14ac:dyDescent="0.25">
      <c r="A1" s="52" t="s">
        <v>36</v>
      </c>
      <c r="B1" s="49"/>
      <c r="C1" s="49"/>
      <c r="D1" s="50"/>
    </row>
    <row r="2" spans="1:4" ht="33.950000000000003" customHeight="1" x14ac:dyDescent="0.25">
      <c r="A2" s="12" t="s">
        <v>37</v>
      </c>
      <c r="B2" s="12" t="s">
        <v>38</v>
      </c>
      <c r="C2" s="12" t="s">
        <v>39</v>
      </c>
      <c r="D2" s="12" t="s">
        <v>40</v>
      </c>
    </row>
    <row r="3" spans="1:4" ht="21.95" customHeight="1" x14ac:dyDescent="0.25">
      <c r="A3" s="9" t="s">
        <v>41</v>
      </c>
      <c r="B3" s="9" t="s">
        <v>42</v>
      </c>
      <c r="C3" s="9">
        <v>10</v>
      </c>
      <c r="D3" s="13">
        <f>C3/C5*100</f>
        <v>33.333333333333329</v>
      </c>
    </row>
    <row r="4" spans="1:4" ht="21.95" customHeight="1" x14ac:dyDescent="0.25">
      <c r="A4" s="9" t="s">
        <v>43</v>
      </c>
      <c r="B4" s="9" t="s">
        <v>44</v>
      </c>
      <c r="C4" s="9">
        <v>20</v>
      </c>
      <c r="D4" s="13">
        <f>C4/C5*100</f>
        <v>66.666666666666657</v>
      </c>
    </row>
    <row r="5" spans="1:4" ht="21.95" customHeight="1" x14ac:dyDescent="0.25">
      <c r="A5" s="14" t="s">
        <v>45</v>
      </c>
      <c r="B5" s="14" t="s">
        <v>46</v>
      </c>
      <c r="C5" s="14">
        <f>SUM(C3:C4)</f>
        <v>30</v>
      </c>
      <c r="D5" s="15">
        <f>SUM(D3:D4)</f>
        <v>99.999999999999986</v>
      </c>
    </row>
    <row r="6" spans="1:4" x14ac:dyDescent="0.25">
      <c r="A6" s="6"/>
      <c r="B6" s="6"/>
      <c r="C6" s="6"/>
      <c r="D6" s="6"/>
    </row>
    <row r="7" spans="1:4" ht="39.950000000000003" customHeight="1" x14ac:dyDescent="0.25">
      <c r="A7" s="16" t="s">
        <v>47</v>
      </c>
      <c r="B7" s="47" t="s">
        <v>48</v>
      </c>
      <c r="C7" s="49"/>
      <c r="D7" s="50"/>
    </row>
    <row r="8" spans="1:4" ht="39.950000000000003" customHeight="1" x14ac:dyDescent="0.25">
      <c r="A8" s="18" t="s">
        <v>49</v>
      </c>
      <c r="B8" s="51" t="s">
        <v>50</v>
      </c>
      <c r="C8" s="49"/>
      <c r="D8" s="50"/>
    </row>
    <row r="9" spans="1:4" ht="65.25" customHeight="1" x14ac:dyDescent="0.25">
      <c r="A9" s="18" t="s">
        <v>51</v>
      </c>
      <c r="B9" s="64" t="s">
        <v>233</v>
      </c>
      <c r="C9" s="49"/>
      <c r="D9" s="50"/>
    </row>
    <row r="10" spans="1:4" ht="39.950000000000003" customHeight="1" x14ac:dyDescent="0.25">
      <c r="A10" s="18" t="s">
        <v>52</v>
      </c>
      <c r="B10" s="51" t="s">
        <v>53</v>
      </c>
      <c r="C10" s="49"/>
      <c r="D10" s="50"/>
    </row>
  </sheetData>
  <mergeCells count="5">
    <mergeCell ref="B10:D10"/>
    <mergeCell ref="A1:D1"/>
    <mergeCell ref="B8:D8"/>
    <mergeCell ref="B9:D9"/>
    <mergeCell ref="B7:D7"/>
  </mergeCells>
  <pageMargins left="0.75" right="0.75" top="1" bottom="1" header="0.5" footer="0.5"/>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1"/>
  <sheetViews>
    <sheetView zoomScale="90" workbookViewId="0">
      <pane ySplit="2" topLeftCell="A3" activePane="bottomLeft" state="frozen"/>
      <selection pane="bottomLeft" activeCell="G11" sqref="G11"/>
    </sheetView>
  </sheetViews>
  <sheetFormatPr baseColWidth="10" defaultColWidth="9.140625" defaultRowHeight="15" x14ac:dyDescent="0.25"/>
  <cols>
    <col min="1" max="1" width="36" customWidth="1"/>
    <col min="2" max="2" width="26" customWidth="1"/>
    <col min="3" max="3" width="75" customWidth="1"/>
    <col min="4" max="4" width="55" customWidth="1"/>
  </cols>
  <sheetData>
    <row r="1" spans="1:4" ht="21.95" customHeight="1" x14ac:dyDescent="0.25">
      <c r="A1" s="48" t="s">
        <v>54</v>
      </c>
      <c r="B1" s="49"/>
      <c r="C1" s="49"/>
      <c r="D1" s="50"/>
    </row>
    <row r="2" spans="1:4" x14ac:dyDescent="0.25">
      <c r="A2" s="6"/>
      <c r="B2" s="6"/>
      <c r="C2" s="6"/>
      <c r="D2" s="6"/>
    </row>
    <row r="3" spans="1:4" ht="21.95" customHeight="1" x14ac:dyDescent="0.25">
      <c r="A3" s="19" t="s">
        <v>55</v>
      </c>
      <c r="B3" s="19" t="s">
        <v>56</v>
      </c>
      <c r="C3" s="19" t="s">
        <v>57</v>
      </c>
      <c r="D3" s="19" t="s">
        <v>58</v>
      </c>
    </row>
    <row r="4" spans="1:4" ht="30" x14ac:dyDescent="0.25">
      <c r="A4" s="17" t="s">
        <v>59</v>
      </c>
      <c r="B4" s="20">
        <f>AVERAGE('Resultados pretest'!E5:E18)</f>
        <v>52.703373015873026</v>
      </c>
      <c r="C4" s="20" t="str">
        <f>IF(B4&gt;=76,"Optimizado",IF(B4&gt;=51,"Gestionado",IF(B4&gt;=26,"Básico","Inicial")))</f>
        <v>Gestionado</v>
      </c>
      <c r="D4" s="20" t="s">
        <v>60</v>
      </c>
    </row>
    <row r="5" spans="1:4" ht="33.950000000000003" customHeight="1" x14ac:dyDescent="0.25">
      <c r="A5" s="17" t="s">
        <v>61</v>
      </c>
      <c r="B5" s="17">
        <f>AVERAGE('Resultados postest'!E5:E18)</f>
        <v>99.087301587301596</v>
      </c>
      <c r="C5" s="17" t="str">
        <f>IF(B5&gt;=76,"Optimizado",IF(B5&gt;=51,"Gestionado",IF(B5&gt;=26,"Básico","Inicial")))</f>
        <v>Optimizado</v>
      </c>
      <c r="D5" s="17" t="s">
        <v>62</v>
      </c>
    </row>
    <row r="6" spans="1:4" ht="33.950000000000003" customHeight="1" x14ac:dyDescent="0.25">
      <c r="A6" s="17" t="s">
        <v>63</v>
      </c>
      <c r="B6" s="17">
        <v>99.06</v>
      </c>
      <c r="C6" s="17" t="s">
        <v>64</v>
      </c>
      <c r="D6" s="17" t="s">
        <v>65</v>
      </c>
    </row>
    <row r="7" spans="1:4" ht="33.950000000000003" customHeight="1" x14ac:dyDescent="0.25">
      <c r="A7" s="6"/>
      <c r="B7" s="6"/>
      <c r="C7" s="6"/>
      <c r="D7" s="6"/>
    </row>
    <row r="8" spans="1:4" ht="50.1" customHeight="1" x14ac:dyDescent="0.25">
      <c r="A8" s="17" t="s">
        <v>66</v>
      </c>
      <c r="B8" s="65" t="s">
        <v>234</v>
      </c>
      <c r="C8" s="49"/>
      <c r="D8" s="50"/>
    </row>
    <row r="9" spans="1:4" x14ac:dyDescent="0.25">
      <c r="A9" s="6"/>
      <c r="B9" s="6"/>
      <c r="C9" s="6"/>
      <c r="D9" s="6"/>
    </row>
    <row r="10" spans="1:4" ht="42" customHeight="1" x14ac:dyDescent="0.25">
      <c r="A10" s="18" t="s">
        <v>67</v>
      </c>
      <c r="B10" s="21" t="s">
        <v>34</v>
      </c>
      <c r="C10" s="21" t="s">
        <v>68</v>
      </c>
      <c r="D10" s="21" t="s">
        <v>69</v>
      </c>
    </row>
    <row r="11" spans="1:4" ht="89.25" x14ac:dyDescent="0.25">
      <c r="A11" s="10" t="s">
        <v>70</v>
      </c>
      <c r="B11" s="11" t="s">
        <v>71</v>
      </c>
      <c r="C11" s="11" t="s">
        <v>72</v>
      </c>
      <c r="D11" s="11" t="s">
        <v>235</v>
      </c>
    </row>
  </sheetData>
  <mergeCells count="2">
    <mergeCell ref="A1:D1"/>
    <mergeCell ref="B8:D8"/>
  </mergeCells>
  <pageMargins left="0.75" right="0.75" top="1" bottom="1" header="0.5" footer="0.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B23"/>
  <sheetViews>
    <sheetView topLeftCell="A7" zoomScale="90" zoomScaleNormal="100" workbookViewId="0">
      <selection activeCell="G23" sqref="G23"/>
    </sheetView>
  </sheetViews>
  <sheetFormatPr baseColWidth="10" defaultColWidth="8.7109375" defaultRowHeight="15" x14ac:dyDescent="0.25"/>
  <cols>
    <col min="1" max="1" width="16" customWidth="1"/>
    <col min="2" max="2" width="105" customWidth="1"/>
  </cols>
  <sheetData>
    <row r="2" spans="2:2" ht="21.95" customHeight="1" x14ac:dyDescent="0.25">
      <c r="B2" s="22" t="s">
        <v>0</v>
      </c>
    </row>
    <row r="4" spans="2:2" ht="21.95" customHeight="1" x14ac:dyDescent="0.25">
      <c r="B4" s="23" t="s">
        <v>1</v>
      </c>
    </row>
    <row r="5" spans="2:2" ht="28.5" customHeight="1" x14ac:dyDescent="0.25">
      <c r="B5" s="24" t="s">
        <v>2</v>
      </c>
    </row>
    <row r="7" spans="2:2" ht="21.95" customHeight="1" x14ac:dyDescent="0.25">
      <c r="B7" s="23" t="s">
        <v>3</v>
      </c>
    </row>
    <row r="8" spans="2:2" ht="42.75" customHeight="1" x14ac:dyDescent="0.25">
      <c r="B8" s="24" t="s">
        <v>4</v>
      </c>
    </row>
    <row r="10" spans="2:2" ht="21.95" customHeight="1" x14ac:dyDescent="0.25">
      <c r="B10" s="23" t="s">
        <v>5</v>
      </c>
    </row>
    <row r="11" spans="2:2" ht="21.95" customHeight="1" x14ac:dyDescent="0.25">
      <c r="B11" s="25" t="s">
        <v>6</v>
      </c>
    </row>
    <row r="13" spans="2:2" ht="21.95" customHeight="1" x14ac:dyDescent="0.25">
      <c r="B13" s="23" t="s">
        <v>7</v>
      </c>
    </row>
    <row r="14" spans="2:2" ht="21.95" customHeight="1" x14ac:dyDescent="0.25">
      <c r="B14" s="24" t="s">
        <v>8</v>
      </c>
    </row>
    <row r="16" spans="2:2" ht="21.95" customHeight="1" x14ac:dyDescent="0.25">
      <c r="B16" s="23" t="s">
        <v>9</v>
      </c>
    </row>
    <row r="17" spans="2:2" ht="28.5" customHeight="1" x14ac:dyDescent="0.25">
      <c r="B17" s="24" t="s">
        <v>10</v>
      </c>
    </row>
    <row r="19" spans="2:2" ht="21.95" customHeight="1" x14ac:dyDescent="0.25">
      <c r="B19" s="23" t="s">
        <v>11</v>
      </c>
    </row>
    <row r="20" spans="2:2" ht="28.5" customHeight="1" x14ac:dyDescent="0.25">
      <c r="B20" s="24" t="s">
        <v>12</v>
      </c>
    </row>
    <row r="22" spans="2:2" ht="21.95" customHeight="1" x14ac:dyDescent="0.25">
      <c r="B22" s="19" t="s">
        <v>13</v>
      </c>
    </row>
    <row r="23" spans="2:2" ht="95.25" customHeight="1" x14ac:dyDescent="0.25">
      <c r="B23" s="65" t="s">
        <v>236</v>
      </c>
    </row>
  </sheetData>
  <mergeCells count="1">
    <mergeCell ref="B23"/>
  </mergeCells>
  <pageMargins left="0.75" right="0.75" top="1" bottom="1" header="0.511811023622047" footer="0.511811023622047"/>
  <pageSetup paperSize="9"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R43"/>
  <sheetViews>
    <sheetView zoomScale="90" zoomScaleNormal="100" workbookViewId="0">
      <pane xSplit="1" ySplit="4" topLeftCell="B26" activePane="bottomRight" state="frozen"/>
      <selection pane="topRight"/>
      <selection pane="bottomLeft"/>
      <selection pane="bottomRight" activeCell="C19" sqref="C19"/>
    </sheetView>
  </sheetViews>
  <sheetFormatPr baseColWidth="10" defaultColWidth="8.7109375" defaultRowHeight="15" x14ac:dyDescent="0.25"/>
  <cols>
    <col min="1" max="1" width="44" customWidth="1"/>
    <col min="2" max="2" width="16" customWidth="1"/>
    <col min="3" max="43" width="13" customWidth="1"/>
    <col min="44" max="44" width="16" customWidth="1"/>
  </cols>
  <sheetData>
    <row r="1" spans="1:44" ht="21.95" customHeight="1" x14ac:dyDescent="0.25">
      <c r="A1" s="52" t="s">
        <v>73</v>
      </c>
    </row>
    <row r="2" spans="1:44" ht="15" customHeight="1" x14ac:dyDescent="0.25">
      <c r="A2" s="53"/>
    </row>
    <row r="3" spans="1:44" ht="15" customHeight="1" x14ac:dyDescent="0.25">
      <c r="A3" s="54"/>
    </row>
    <row r="4" spans="1:44" ht="21.95" customHeight="1" x14ac:dyDescent="0.25">
      <c r="A4" s="26" t="s">
        <v>74</v>
      </c>
      <c r="B4" s="26" t="s">
        <v>75</v>
      </c>
      <c r="C4" s="26" t="s">
        <v>76</v>
      </c>
      <c r="D4" s="26" t="s">
        <v>77</v>
      </c>
      <c r="E4" s="26" t="s">
        <v>78</v>
      </c>
      <c r="F4" s="26" t="s">
        <v>79</v>
      </c>
      <c r="G4" s="26" t="s">
        <v>80</v>
      </c>
      <c r="H4" s="26" t="s">
        <v>81</v>
      </c>
      <c r="I4" s="26" t="s">
        <v>82</v>
      </c>
      <c r="J4" s="26" t="s">
        <v>83</v>
      </c>
      <c r="K4" s="26" t="s">
        <v>84</v>
      </c>
      <c r="L4" s="26" t="s">
        <v>85</v>
      </c>
      <c r="M4" s="26" t="s">
        <v>86</v>
      </c>
      <c r="N4" s="26" t="s">
        <v>87</v>
      </c>
      <c r="O4" s="26" t="s">
        <v>88</v>
      </c>
      <c r="P4" s="26" t="s">
        <v>89</v>
      </c>
      <c r="Q4" s="26" t="s">
        <v>90</v>
      </c>
      <c r="R4" s="26" t="s">
        <v>91</v>
      </c>
      <c r="S4" s="26" t="s">
        <v>92</v>
      </c>
      <c r="T4" s="26" t="s">
        <v>93</v>
      </c>
      <c r="U4" s="26" t="s">
        <v>94</v>
      </c>
      <c r="V4" s="26" t="s">
        <v>95</v>
      </c>
      <c r="W4" s="26" t="s">
        <v>96</v>
      </c>
      <c r="X4" s="26" t="s">
        <v>97</v>
      </c>
      <c r="Y4" s="26" t="s">
        <v>98</v>
      </c>
      <c r="Z4" s="26" t="s">
        <v>99</v>
      </c>
      <c r="AA4" s="26" t="s">
        <v>100</v>
      </c>
      <c r="AB4" s="26" t="s">
        <v>101</v>
      </c>
      <c r="AC4" s="26" t="s">
        <v>102</v>
      </c>
      <c r="AD4" s="26" t="s">
        <v>103</v>
      </c>
      <c r="AE4" s="26" t="s">
        <v>104</v>
      </c>
      <c r="AF4" s="26" t="s">
        <v>105</v>
      </c>
      <c r="AG4" s="26" t="s">
        <v>106</v>
      </c>
      <c r="AH4" s="26" t="s">
        <v>107</v>
      </c>
      <c r="AI4" s="26" t="s">
        <v>108</v>
      </c>
      <c r="AJ4" s="26" t="s">
        <v>109</v>
      </c>
      <c r="AK4" s="26" t="s">
        <v>110</v>
      </c>
      <c r="AL4" s="26" t="s">
        <v>111</v>
      </c>
      <c r="AM4" s="26" t="s">
        <v>112</v>
      </c>
      <c r="AN4" s="26" t="s">
        <v>113</v>
      </c>
      <c r="AO4" s="26" t="s">
        <v>114</v>
      </c>
      <c r="AP4" s="26" t="s">
        <v>115</v>
      </c>
      <c r="AQ4" s="26" t="s">
        <v>116</v>
      </c>
      <c r="AR4" s="26" t="s">
        <v>45</v>
      </c>
    </row>
    <row r="5" spans="1:44" ht="21.95" customHeight="1" x14ac:dyDescent="0.25">
      <c r="A5" s="27" t="s">
        <v>117</v>
      </c>
      <c r="B5" s="27">
        <v>2</v>
      </c>
      <c r="C5" s="27">
        <v>3</v>
      </c>
      <c r="D5" s="27">
        <v>0</v>
      </c>
      <c r="E5" s="27">
        <v>3</v>
      </c>
      <c r="F5" s="27">
        <v>4</v>
      </c>
      <c r="G5" s="27">
        <v>4</v>
      </c>
      <c r="H5" s="27">
        <v>2</v>
      </c>
      <c r="I5" s="27">
        <v>2</v>
      </c>
      <c r="J5" s="27">
        <v>3</v>
      </c>
      <c r="K5" s="27">
        <v>0</v>
      </c>
      <c r="L5" s="27">
        <v>4</v>
      </c>
      <c r="M5" s="27">
        <v>4</v>
      </c>
      <c r="N5" s="27">
        <v>4</v>
      </c>
      <c r="O5" s="27">
        <v>4</v>
      </c>
      <c r="P5" s="27">
        <v>3</v>
      </c>
      <c r="Q5" s="27">
        <v>3</v>
      </c>
      <c r="R5" s="27">
        <v>4</v>
      </c>
      <c r="S5" s="27">
        <v>4</v>
      </c>
      <c r="T5" s="27">
        <v>2</v>
      </c>
      <c r="U5" s="27">
        <v>1</v>
      </c>
      <c r="V5" s="27">
        <v>4</v>
      </c>
      <c r="W5" s="27">
        <v>3</v>
      </c>
      <c r="X5" s="27">
        <v>2</v>
      </c>
      <c r="Y5" s="27">
        <v>4</v>
      </c>
      <c r="Z5" s="27">
        <v>4</v>
      </c>
      <c r="AA5" s="27">
        <v>4</v>
      </c>
      <c r="AB5" s="27">
        <v>3</v>
      </c>
      <c r="AC5" s="27">
        <v>4</v>
      </c>
      <c r="AD5" s="27">
        <v>4</v>
      </c>
      <c r="AE5" s="27">
        <v>3</v>
      </c>
      <c r="AF5" s="27">
        <v>4</v>
      </c>
      <c r="AG5" s="27">
        <v>3</v>
      </c>
      <c r="AH5" s="27">
        <v>4</v>
      </c>
      <c r="AI5" s="27">
        <v>4</v>
      </c>
      <c r="AJ5" s="27">
        <v>3</v>
      </c>
      <c r="AK5" s="27">
        <v>4</v>
      </c>
      <c r="AL5" s="27">
        <v>2</v>
      </c>
      <c r="AM5" s="27">
        <v>3</v>
      </c>
      <c r="AN5" s="27">
        <v>3</v>
      </c>
      <c r="AO5" s="27">
        <v>2</v>
      </c>
      <c r="AP5" s="27">
        <v>2</v>
      </c>
      <c r="AQ5" s="27">
        <v>4</v>
      </c>
      <c r="AR5" s="28">
        <f t="shared" ref="AR5:AR34" si="0">SUM(B5:AQ5)</f>
        <v>129</v>
      </c>
    </row>
    <row r="6" spans="1:44" ht="21.95" customHeight="1" x14ac:dyDescent="0.25">
      <c r="A6" s="27" t="s">
        <v>118</v>
      </c>
      <c r="B6" s="27">
        <v>2</v>
      </c>
      <c r="C6" s="27">
        <v>2</v>
      </c>
      <c r="D6" s="27">
        <v>4</v>
      </c>
      <c r="E6" s="27">
        <v>4</v>
      </c>
      <c r="F6" s="27">
        <v>2</v>
      </c>
      <c r="G6" s="27">
        <v>2</v>
      </c>
      <c r="H6" s="27">
        <v>4</v>
      </c>
      <c r="I6" s="27">
        <v>4</v>
      </c>
      <c r="J6" s="27">
        <v>4</v>
      </c>
      <c r="K6" s="27">
        <v>1</v>
      </c>
      <c r="L6" s="27">
        <v>4</v>
      </c>
      <c r="M6" s="27">
        <v>3</v>
      </c>
      <c r="N6" s="27">
        <v>3</v>
      </c>
      <c r="O6" s="27">
        <v>3</v>
      </c>
      <c r="P6" s="27">
        <v>2</v>
      </c>
      <c r="Q6" s="27">
        <v>2</v>
      </c>
      <c r="R6" s="27">
        <v>0</v>
      </c>
      <c r="S6" s="27">
        <v>4</v>
      </c>
      <c r="T6" s="27">
        <v>3</v>
      </c>
      <c r="U6" s="27">
        <v>2</v>
      </c>
      <c r="V6" s="27">
        <v>3</v>
      </c>
      <c r="W6" s="27">
        <v>3</v>
      </c>
      <c r="X6" s="27">
        <v>2</v>
      </c>
      <c r="Y6" s="27">
        <v>2</v>
      </c>
      <c r="Z6" s="27">
        <v>2</v>
      </c>
      <c r="AA6" s="27">
        <v>0</v>
      </c>
      <c r="AB6" s="27">
        <v>1</v>
      </c>
      <c r="AC6" s="27">
        <v>2</v>
      </c>
      <c r="AD6" s="27">
        <v>4</v>
      </c>
      <c r="AE6" s="27">
        <v>3</v>
      </c>
      <c r="AF6" s="27">
        <v>4</v>
      </c>
      <c r="AG6" s="27">
        <v>4</v>
      </c>
      <c r="AH6" s="27">
        <v>3</v>
      </c>
      <c r="AI6" s="27">
        <v>3</v>
      </c>
      <c r="AJ6" s="27">
        <v>3</v>
      </c>
      <c r="AK6" s="27">
        <v>2</v>
      </c>
      <c r="AL6" s="27">
        <v>3</v>
      </c>
      <c r="AM6" s="27">
        <v>3</v>
      </c>
      <c r="AN6" s="27">
        <v>2</v>
      </c>
      <c r="AO6" s="27">
        <v>2</v>
      </c>
      <c r="AP6" s="27">
        <v>3</v>
      </c>
      <c r="AQ6" s="27">
        <v>3</v>
      </c>
      <c r="AR6" s="28">
        <f t="shared" si="0"/>
        <v>112</v>
      </c>
    </row>
    <row r="7" spans="1:44" ht="21.95" customHeight="1" x14ac:dyDescent="0.25">
      <c r="A7" s="27" t="s">
        <v>119</v>
      </c>
      <c r="B7" s="27">
        <v>4</v>
      </c>
      <c r="C7" s="27">
        <v>3</v>
      </c>
      <c r="D7" s="27">
        <v>2</v>
      </c>
      <c r="E7" s="27">
        <v>2</v>
      </c>
      <c r="F7" s="27">
        <v>1</v>
      </c>
      <c r="G7" s="27">
        <v>3</v>
      </c>
      <c r="H7" s="27">
        <v>3</v>
      </c>
      <c r="I7" s="27">
        <v>3</v>
      </c>
      <c r="J7" s="27">
        <v>3</v>
      </c>
      <c r="K7" s="27">
        <v>2</v>
      </c>
      <c r="L7" s="27">
        <v>3</v>
      </c>
      <c r="M7" s="27">
        <v>3</v>
      </c>
      <c r="N7" s="27">
        <v>3</v>
      </c>
      <c r="O7" s="27">
        <v>2</v>
      </c>
      <c r="P7" s="27">
        <v>4</v>
      </c>
      <c r="Q7" s="27">
        <v>4</v>
      </c>
      <c r="R7" s="27">
        <v>1</v>
      </c>
      <c r="S7" s="27">
        <v>2</v>
      </c>
      <c r="T7" s="27">
        <v>2</v>
      </c>
      <c r="U7" s="27">
        <v>3</v>
      </c>
      <c r="V7" s="27">
        <v>4</v>
      </c>
      <c r="W7" s="27">
        <v>0</v>
      </c>
      <c r="X7" s="27">
        <v>4</v>
      </c>
      <c r="Y7" s="27">
        <v>3</v>
      </c>
      <c r="Z7" s="27">
        <v>2</v>
      </c>
      <c r="AA7" s="27">
        <v>2</v>
      </c>
      <c r="AB7" s="27">
        <v>3</v>
      </c>
      <c r="AC7" s="27">
        <v>2</v>
      </c>
      <c r="AD7" s="27">
        <v>2</v>
      </c>
      <c r="AE7" s="27">
        <v>2</v>
      </c>
      <c r="AF7" s="27">
        <v>4</v>
      </c>
      <c r="AG7" s="27">
        <v>0</v>
      </c>
      <c r="AH7" s="27">
        <v>4</v>
      </c>
      <c r="AI7" s="27">
        <v>0</v>
      </c>
      <c r="AJ7" s="27">
        <v>4</v>
      </c>
      <c r="AK7" s="27">
        <v>2</v>
      </c>
      <c r="AL7" s="27">
        <v>2</v>
      </c>
      <c r="AM7" s="27">
        <v>2</v>
      </c>
      <c r="AN7" s="27">
        <v>2</v>
      </c>
      <c r="AO7" s="27">
        <v>4</v>
      </c>
      <c r="AP7" s="27">
        <v>1</v>
      </c>
      <c r="AQ7" s="27">
        <v>0</v>
      </c>
      <c r="AR7" s="28">
        <f t="shared" si="0"/>
        <v>102</v>
      </c>
    </row>
    <row r="8" spans="1:44" ht="21.95" customHeight="1" x14ac:dyDescent="0.25">
      <c r="A8" s="27" t="s">
        <v>120</v>
      </c>
      <c r="B8" s="27">
        <v>0</v>
      </c>
      <c r="C8" s="27">
        <v>1</v>
      </c>
      <c r="D8" s="27">
        <v>2</v>
      </c>
      <c r="E8" s="27">
        <v>1</v>
      </c>
      <c r="F8" s="27">
        <v>1</v>
      </c>
      <c r="G8" s="27">
        <v>4</v>
      </c>
      <c r="H8" s="27">
        <v>4</v>
      </c>
      <c r="I8" s="27">
        <v>4</v>
      </c>
      <c r="J8" s="27">
        <v>4</v>
      </c>
      <c r="K8" s="27">
        <v>2</v>
      </c>
      <c r="L8" s="27">
        <v>1</v>
      </c>
      <c r="M8" s="27">
        <v>1</v>
      </c>
      <c r="N8" s="27">
        <v>1</v>
      </c>
      <c r="O8" s="27">
        <v>1</v>
      </c>
      <c r="P8" s="27">
        <v>1</v>
      </c>
      <c r="Q8" s="27">
        <v>3</v>
      </c>
      <c r="R8" s="27">
        <v>4</v>
      </c>
      <c r="S8" s="27">
        <v>3</v>
      </c>
      <c r="T8" s="27">
        <v>3</v>
      </c>
      <c r="U8" s="27">
        <v>1</v>
      </c>
      <c r="V8" s="27">
        <v>3</v>
      </c>
      <c r="W8" s="27">
        <v>1</v>
      </c>
      <c r="X8" s="27">
        <v>2</v>
      </c>
      <c r="Y8" s="27">
        <v>4</v>
      </c>
      <c r="Z8" s="27">
        <v>2</v>
      </c>
      <c r="AA8" s="27">
        <v>2</v>
      </c>
      <c r="AB8" s="27">
        <v>3</v>
      </c>
      <c r="AC8" s="27">
        <v>1</v>
      </c>
      <c r="AD8" s="27">
        <v>2</v>
      </c>
      <c r="AE8" s="27">
        <v>1</v>
      </c>
      <c r="AF8" s="27">
        <v>3</v>
      </c>
      <c r="AG8" s="27">
        <v>2</v>
      </c>
      <c r="AH8" s="27">
        <v>2</v>
      </c>
      <c r="AI8" s="27">
        <v>2</v>
      </c>
      <c r="AJ8" s="27">
        <v>2</v>
      </c>
      <c r="AK8" s="27">
        <v>2</v>
      </c>
      <c r="AL8" s="27">
        <v>2</v>
      </c>
      <c r="AM8" s="27">
        <v>2</v>
      </c>
      <c r="AN8" s="27">
        <v>3</v>
      </c>
      <c r="AO8" s="27">
        <v>3</v>
      </c>
      <c r="AP8" s="27">
        <v>3</v>
      </c>
      <c r="AQ8" s="27">
        <v>4</v>
      </c>
      <c r="AR8" s="28">
        <f t="shared" si="0"/>
        <v>93</v>
      </c>
    </row>
    <row r="9" spans="1:44" ht="21.95" customHeight="1" x14ac:dyDescent="0.25">
      <c r="A9" s="27" t="s">
        <v>121</v>
      </c>
      <c r="B9" s="27">
        <v>3</v>
      </c>
      <c r="C9" s="27">
        <v>3</v>
      </c>
      <c r="D9" s="27">
        <v>4</v>
      </c>
      <c r="E9" s="27">
        <v>3</v>
      </c>
      <c r="F9" s="27">
        <v>4</v>
      </c>
      <c r="G9" s="27">
        <v>3</v>
      </c>
      <c r="H9" s="27">
        <v>4</v>
      </c>
      <c r="I9" s="27">
        <v>2</v>
      </c>
      <c r="J9" s="27">
        <v>4</v>
      </c>
      <c r="K9" s="27">
        <v>3</v>
      </c>
      <c r="L9" s="27">
        <v>2</v>
      </c>
      <c r="M9" s="27">
        <v>2</v>
      </c>
      <c r="N9" s="27">
        <v>2</v>
      </c>
      <c r="O9" s="27">
        <v>3</v>
      </c>
      <c r="P9" s="27">
        <v>4</v>
      </c>
      <c r="Q9" s="27">
        <v>4</v>
      </c>
      <c r="R9" s="27">
        <v>4</v>
      </c>
      <c r="S9" s="27">
        <v>3</v>
      </c>
      <c r="T9" s="27">
        <v>4</v>
      </c>
      <c r="U9" s="27">
        <v>2</v>
      </c>
      <c r="V9" s="27">
        <v>1</v>
      </c>
      <c r="W9" s="27">
        <v>2</v>
      </c>
      <c r="X9" s="27">
        <v>3</v>
      </c>
      <c r="Y9" s="27">
        <v>4</v>
      </c>
      <c r="Z9" s="27">
        <v>1</v>
      </c>
      <c r="AA9" s="27">
        <v>2</v>
      </c>
      <c r="AB9" s="27">
        <v>2</v>
      </c>
      <c r="AC9" s="27">
        <v>2</v>
      </c>
      <c r="AD9" s="27">
        <v>2</v>
      </c>
      <c r="AE9" s="27">
        <v>2</v>
      </c>
      <c r="AF9" s="27">
        <v>2</v>
      </c>
      <c r="AG9" s="27">
        <v>3</v>
      </c>
      <c r="AH9" s="27">
        <v>1</v>
      </c>
      <c r="AI9" s="27">
        <v>2</v>
      </c>
      <c r="AJ9" s="27">
        <v>2</v>
      </c>
      <c r="AK9" s="27">
        <v>3</v>
      </c>
      <c r="AL9" s="27">
        <v>4</v>
      </c>
      <c r="AM9" s="27">
        <v>2</v>
      </c>
      <c r="AN9" s="27">
        <v>3</v>
      </c>
      <c r="AO9" s="27">
        <v>2</v>
      </c>
      <c r="AP9" s="27">
        <v>3</v>
      </c>
      <c r="AQ9" s="27">
        <v>4</v>
      </c>
      <c r="AR9" s="28">
        <f t="shared" si="0"/>
        <v>115</v>
      </c>
    </row>
    <row r="10" spans="1:44" ht="21.95" customHeight="1" x14ac:dyDescent="0.25">
      <c r="A10" s="27" t="s">
        <v>122</v>
      </c>
      <c r="B10" s="27">
        <v>3</v>
      </c>
      <c r="C10" s="27">
        <v>1</v>
      </c>
      <c r="D10" s="27">
        <v>4</v>
      </c>
      <c r="E10" s="27">
        <v>1</v>
      </c>
      <c r="F10" s="27">
        <v>2</v>
      </c>
      <c r="G10" s="27">
        <v>3</v>
      </c>
      <c r="H10" s="27">
        <v>4</v>
      </c>
      <c r="I10" s="27">
        <v>2</v>
      </c>
      <c r="J10" s="27">
        <v>3</v>
      </c>
      <c r="K10" s="27">
        <v>3</v>
      </c>
      <c r="L10" s="27">
        <v>3</v>
      </c>
      <c r="M10" s="27">
        <v>3</v>
      </c>
      <c r="N10" s="27">
        <v>2</v>
      </c>
      <c r="O10" s="27">
        <v>2</v>
      </c>
      <c r="P10" s="27">
        <v>3</v>
      </c>
      <c r="Q10" s="27">
        <v>2</v>
      </c>
      <c r="R10" s="27">
        <v>2</v>
      </c>
      <c r="S10" s="27">
        <v>1</v>
      </c>
      <c r="T10" s="27">
        <v>1</v>
      </c>
      <c r="U10" s="27">
        <v>0</v>
      </c>
      <c r="V10" s="27">
        <v>3</v>
      </c>
      <c r="W10" s="27">
        <v>3</v>
      </c>
      <c r="X10" s="27">
        <v>1</v>
      </c>
      <c r="Y10" s="27">
        <v>2</v>
      </c>
      <c r="Z10" s="27">
        <v>3</v>
      </c>
      <c r="AA10" s="27">
        <v>2</v>
      </c>
      <c r="AB10" s="27">
        <v>1</v>
      </c>
      <c r="AC10" s="27">
        <v>0</v>
      </c>
      <c r="AD10" s="27">
        <v>1</v>
      </c>
      <c r="AE10" s="27">
        <v>2</v>
      </c>
      <c r="AF10" s="27">
        <v>2</v>
      </c>
      <c r="AG10" s="27">
        <v>3</v>
      </c>
      <c r="AH10" s="27">
        <v>2</v>
      </c>
      <c r="AI10" s="27">
        <v>3</v>
      </c>
      <c r="AJ10" s="27">
        <v>4</v>
      </c>
      <c r="AK10" s="27">
        <v>3</v>
      </c>
      <c r="AL10" s="27">
        <v>2</v>
      </c>
      <c r="AM10" s="27">
        <v>0</v>
      </c>
      <c r="AN10" s="27">
        <v>3</v>
      </c>
      <c r="AO10" s="27">
        <v>3</v>
      </c>
      <c r="AP10" s="27">
        <v>4</v>
      </c>
      <c r="AQ10" s="27">
        <v>1</v>
      </c>
      <c r="AR10" s="28">
        <f t="shared" si="0"/>
        <v>93</v>
      </c>
    </row>
    <row r="11" spans="1:44" ht="21.95" customHeight="1" x14ac:dyDescent="0.25">
      <c r="A11" s="27" t="s">
        <v>123</v>
      </c>
      <c r="B11" s="27">
        <v>0</v>
      </c>
      <c r="C11" s="27">
        <v>2</v>
      </c>
      <c r="D11" s="27">
        <v>3</v>
      </c>
      <c r="E11" s="27">
        <v>1</v>
      </c>
      <c r="F11" s="27">
        <v>3</v>
      </c>
      <c r="G11" s="27">
        <v>1</v>
      </c>
      <c r="H11" s="27">
        <v>3</v>
      </c>
      <c r="I11" s="27">
        <v>2</v>
      </c>
      <c r="J11" s="27">
        <v>1</v>
      </c>
      <c r="K11" s="27">
        <v>0</v>
      </c>
      <c r="L11" s="27">
        <v>1</v>
      </c>
      <c r="M11" s="27">
        <v>3</v>
      </c>
      <c r="N11" s="27">
        <v>3</v>
      </c>
      <c r="O11" s="27">
        <v>1</v>
      </c>
      <c r="P11" s="27">
        <v>3</v>
      </c>
      <c r="Q11" s="27">
        <v>4</v>
      </c>
      <c r="R11" s="27">
        <v>1</v>
      </c>
      <c r="S11" s="27">
        <v>2</v>
      </c>
      <c r="T11" s="27">
        <v>2</v>
      </c>
      <c r="U11" s="27">
        <v>1</v>
      </c>
      <c r="V11" s="27">
        <v>1</v>
      </c>
      <c r="W11" s="27">
        <v>4</v>
      </c>
      <c r="X11" s="27">
        <v>3</v>
      </c>
      <c r="Y11" s="27">
        <v>3</v>
      </c>
      <c r="Z11" s="27">
        <v>1</v>
      </c>
      <c r="AA11" s="27">
        <v>3</v>
      </c>
      <c r="AB11" s="27">
        <v>2</v>
      </c>
      <c r="AC11" s="27">
        <v>3</v>
      </c>
      <c r="AD11" s="27">
        <v>0</v>
      </c>
      <c r="AE11" s="27">
        <v>0</v>
      </c>
      <c r="AF11" s="27">
        <v>3</v>
      </c>
      <c r="AG11" s="27">
        <v>4</v>
      </c>
      <c r="AH11" s="27">
        <v>3</v>
      </c>
      <c r="AI11" s="27">
        <v>3</v>
      </c>
      <c r="AJ11" s="27">
        <v>0</v>
      </c>
      <c r="AK11" s="27">
        <v>4</v>
      </c>
      <c r="AL11" s="27">
        <v>3</v>
      </c>
      <c r="AM11" s="27">
        <v>0</v>
      </c>
      <c r="AN11" s="27">
        <v>1</v>
      </c>
      <c r="AO11" s="27">
        <v>4</v>
      </c>
      <c r="AP11" s="27">
        <v>4</v>
      </c>
      <c r="AQ11" s="27">
        <v>3</v>
      </c>
      <c r="AR11" s="28">
        <f t="shared" si="0"/>
        <v>89</v>
      </c>
    </row>
    <row r="12" spans="1:44" ht="21.95" customHeight="1" x14ac:dyDescent="0.25">
      <c r="A12" s="27" t="s">
        <v>124</v>
      </c>
      <c r="B12" s="27">
        <v>1</v>
      </c>
      <c r="C12" s="27">
        <v>2</v>
      </c>
      <c r="D12" s="27">
        <v>1</v>
      </c>
      <c r="E12" s="27">
        <v>3</v>
      </c>
      <c r="F12" s="27">
        <v>2</v>
      </c>
      <c r="G12" s="27">
        <v>4</v>
      </c>
      <c r="H12" s="27">
        <v>1</v>
      </c>
      <c r="I12" s="27">
        <v>2</v>
      </c>
      <c r="J12" s="27">
        <v>1</v>
      </c>
      <c r="K12" s="27">
        <v>2</v>
      </c>
      <c r="L12" s="27">
        <v>4</v>
      </c>
      <c r="M12" s="27">
        <v>1</v>
      </c>
      <c r="N12" s="27">
        <v>2</v>
      </c>
      <c r="O12" s="27">
        <v>3</v>
      </c>
      <c r="P12" s="27">
        <v>0</v>
      </c>
      <c r="Q12" s="27">
        <v>2</v>
      </c>
      <c r="R12" s="27">
        <v>4</v>
      </c>
      <c r="S12" s="27">
        <v>0</v>
      </c>
      <c r="T12" s="27">
        <v>4</v>
      </c>
      <c r="U12" s="27">
        <v>3</v>
      </c>
      <c r="V12" s="27">
        <v>4</v>
      </c>
      <c r="W12" s="27">
        <v>2</v>
      </c>
      <c r="X12" s="27">
        <v>2</v>
      </c>
      <c r="Y12" s="27">
        <v>1</v>
      </c>
      <c r="Z12" s="27">
        <v>2</v>
      </c>
      <c r="AA12" s="27">
        <v>3</v>
      </c>
      <c r="AB12" s="27">
        <v>0</v>
      </c>
      <c r="AC12" s="27">
        <v>3</v>
      </c>
      <c r="AD12" s="27">
        <v>4</v>
      </c>
      <c r="AE12" s="27">
        <v>2</v>
      </c>
      <c r="AF12" s="27">
        <v>0</v>
      </c>
      <c r="AG12" s="27">
        <v>4</v>
      </c>
      <c r="AH12" s="27">
        <v>1</v>
      </c>
      <c r="AI12" s="27">
        <v>2</v>
      </c>
      <c r="AJ12" s="27">
        <v>2</v>
      </c>
      <c r="AK12" s="27">
        <v>4</v>
      </c>
      <c r="AL12" s="27">
        <v>0</v>
      </c>
      <c r="AM12" s="27">
        <v>3</v>
      </c>
      <c r="AN12" s="27">
        <v>1</v>
      </c>
      <c r="AO12" s="27">
        <v>0</v>
      </c>
      <c r="AP12" s="27">
        <v>2</v>
      </c>
      <c r="AQ12" s="27">
        <v>3</v>
      </c>
      <c r="AR12" s="28">
        <f t="shared" si="0"/>
        <v>87</v>
      </c>
    </row>
    <row r="13" spans="1:44" ht="21.95" customHeight="1" x14ac:dyDescent="0.25">
      <c r="A13" s="27" t="s">
        <v>125</v>
      </c>
      <c r="B13" s="27">
        <v>4</v>
      </c>
      <c r="C13" s="27">
        <v>3</v>
      </c>
      <c r="D13" s="27">
        <v>3</v>
      </c>
      <c r="E13" s="27">
        <v>1</v>
      </c>
      <c r="F13" s="27">
        <v>4</v>
      </c>
      <c r="G13" s="27">
        <v>3</v>
      </c>
      <c r="H13" s="27">
        <v>3</v>
      </c>
      <c r="I13" s="27">
        <v>4</v>
      </c>
      <c r="J13" s="27">
        <v>4</v>
      </c>
      <c r="K13" s="27">
        <v>4</v>
      </c>
      <c r="L13" s="27">
        <v>1</v>
      </c>
      <c r="M13" s="27">
        <v>2</v>
      </c>
      <c r="N13" s="27">
        <v>2</v>
      </c>
      <c r="O13" s="27">
        <v>2</v>
      </c>
      <c r="P13" s="27">
        <v>4</v>
      </c>
      <c r="Q13" s="27">
        <v>3</v>
      </c>
      <c r="R13" s="27">
        <v>1</v>
      </c>
      <c r="S13" s="27">
        <v>4</v>
      </c>
      <c r="T13" s="27">
        <v>4</v>
      </c>
      <c r="U13" s="27">
        <v>3</v>
      </c>
      <c r="V13" s="27">
        <v>2</v>
      </c>
      <c r="W13" s="27">
        <v>4</v>
      </c>
      <c r="X13" s="27">
        <v>3</v>
      </c>
      <c r="Y13" s="27">
        <v>0</v>
      </c>
      <c r="Z13" s="27">
        <v>3</v>
      </c>
      <c r="AA13" s="27">
        <v>3</v>
      </c>
      <c r="AB13" s="27">
        <v>4</v>
      </c>
      <c r="AC13" s="27">
        <v>2</v>
      </c>
      <c r="AD13" s="27">
        <v>3</v>
      </c>
      <c r="AE13" s="27">
        <v>4</v>
      </c>
      <c r="AF13" s="27">
        <v>2</v>
      </c>
      <c r="AG13" s="27">
        <v>3</v>
      </c>
      <c r="AH13" s="27">
        <v>2</v>
      </c>
      <c r="AI13" s="27">
        <v>4</v>
      </c>
      <c r="AJ13" s="27">
        <v>2</v>
      </c>
      <c r="AK13" s="27">
        <v>0</v>
      </c>
      <c r="AL13" s="27">
        <v>3</v>
      </c>
      <c r="AM13" s="27">
        <v>3</v>
      </c>
      <c r="AN13" s="27">
        <v>3</v>
      </c>
      <c r="AO13" s="27">
        <v>1</v>
      </c>
      <c r="AP13" s="27">
        <v>2</v>
      </c>
      <c r="AQ13" s="27">
        <v>4</v>
      </c>
      <c r="AR13" s="28">
        <f t="shared" si="0"/>
        <v>116</v>
      </c>
    </row>
    <row r="14" spans="1:44" ht="21.95" customHeight="1" x14ac:dyDescent="0.25">
      <c r="A14" s="27" t="s">
        <v>126</v>
      </c>
      <c r="B14" s="27">
        <v>0</v>
      </c>
      <c r="C14" s="27">
        <v>3</v>
      </c>
      <c r="D14" s="27">
        <v>4</v>
      </c>
      <c r="E14" s="27">
        <v>2</v>
      </c>
      <c r="F14" s="27">
        <v>1</v>
      </c>
      <c r="G14" s="27">
        <v>2</v>
      </c>
      <c r="H14" s="27">
        <v>1</v>
      </c>
      <c r="I14" s="27">
        <v>3</v>
      </c>
      <c r="J14" s="27">
        <v>1</v>
      </c>
      <c r="K14" s="27">
        <v>2</v>
      </c>
      <c r="L14" s="27">
        <v>2</v>
      </c>
      <c r="M14" s="27">
        <v>2</v>
      </c>
      <c r="N14" s="27">
        <v>4</v>
      </c>
      <c r="O14" s="27">
        <v>2</v>
      </c>
      <c r="P14" s="27">
        <v>0</v>
      </c>
      <c r="Q14" s="27">
        <v>2</v>
      </c>
      <c r="R14" s="27">
        <v>2</v>
      </c>
      <c r="S14" s="27">
        <v>1</v>
      </c>
      <c r="T14" s="27">
        <v>3</v>
      </c>
      <c r="U14" s="27">
        <v>0</v>
      </c>
      <c r="V14" s="27">
        <v>0</v>
      </c>
      <c r="W14" s="27">
        <v>3</v>
      </c>
      <c r="X14" s="27">
        <v>3</v>
      </c>
      <c r="Y14" s="27">
        <v>2</v>
      </c>
      <c r="Z14" s="27">
        <v>4</v>
      </c>
      <c r="AA14" s="27">
        <v>2</v>
      </c>
      <c r="AB14" s="27">
        <v>4</v>
      </c>
      <c r="AC14" s="27">
        <v>1</v>
      </c>
      <c r="AD14" s="27">
        <v>0</v>
      </c>
      <c r="AE14" s="27">
        <v>1</v>
      </c>
      <c r="AF14" s="27">
        <v>2</v>
      </c>
      <c r="AG14" s="27">
        <v>2</v>
      </c>
      <c r="AH14" s="27">
        <v>1</v>
      </c>
      <c r="AI14" s="27">
        <v>2</v>
      </c>
      <c r="AJ14" s="27">
        <v>1</v>
      </c>
      <c r="AK14" s="27">
        <v>2</v>
      </c>
      <c r="AL14" s="27">
        <v>2</v>
      </c>
      <c r="AM14" s="27">
        <v>2</v>
      </c>
      <c r="AN14" s="27">
        <v>3</v>
      </c>
      <c r="AO14" s="27">
        <v>3</v>
      </c>
      <c r="AP14" s="27">
        <v>3</v>
      </c>
      <c r="AQ14" s="27">
        <v>0</v>
      </c>
      <c r="AR14" s="28">
        <f t="shared" si="0"/>
        <v>80</v>
      </c>
    </row>
    <row r="15" spans="1:44" ht="21.95" customHeight="1" x14ac:dyDescent="0.25">
      <c r="A15" s="27" t="s">
        <v>127</v>
      </c>
      <c r="B15" s="27">
        <v>2</v>
      </c>
      <c r="C15" s="27">
        <v>3</v>
      </c>
      <c r="D15" s="27">
        <v>4</v>
      </c>
      <c r="E15" s="27">
        <v>4</v>
      </c>
      <c r="F15" s="27">
        <v>3</v>
      </c>
      <c r="G15" s="27">
        <v>3</v>
      </c>
      <c r="H15" s="27">
        <v>3</v>
      </c>
      <c r="I15" s="27">
        <v>3</v>
      </c>
      <c r="J15" s="27">
        <v>2</v>
      </c>
      <c r="K15" s="27">
        <v>1</v>
      </c>
      <c r="L15" s="27">
        <v>3</v>
      </c>
      <c r="M15" s="27">
        <v>3</v>
      </c>
      <c r="N15" s="27">
        <v>3</v>
      </c>
      <c r="O15" s="27">
        <v>4</v>
      </c>
      <c r="P15" s="27">
        <v>0</v>
      </c>
      <c r="Q15" s="27">
        <v>3</v>
      </c>
      <c r="R15" s="27">
        <v>1</v>
      </c>
      <c r="S15" s="27">
        <v>3</v>
      </c>
      <c r="T15" s="27">
        <v>3</v>
      </c>
      <c r="U15" s="27">
        <v>2</v>
      </c>
      <c r="V15" s="27">
        <v>2</v>
      </c>
      <c r="W15" s="27">
        <v>0</v>
      </c>
      <c r="X15" s="27">
        <v>0</v>
      </c>
      <c r="Y15" s="27">
        <v>3</v>
      </c>
      <c r="Z15" s="27">
        <v>2</v>
      </c>
      <c r="AA15" s="27">
        <v>3</v>
      </c>
      <c r="AB15" s="27">
        <v>3</v>
      </c>
      <c r="AC15" s="27">
        <v>4</v>
      </c>
      <c r="AD15" s="27">
        <v>1</v>
      </c>
      <c r="AE15" s="27">
        <v>4</v>
      </c>
      <c r="AF15" s="27">
        <v>1</v>
      </c>
      <c r="AG15" s="27">
        <v>0</v>
      </c>
      <c r="AH15" s="27">
        <v>1</v>
      </c>
      <c r="AI15" s="27">
        <v>2</v>
      </c>
      <c r="AJ15" s="27">
        <v>4</v>
      </c>
      <c r="AK15" s="27">
        <v>4</v>
      </c>
      <c r="AL15" s="27">
        <v>2</v>
      </c>
      <c r="AM15" s="27">
        <v>2</v>
      </c>
      <c r="AN15" s="27">
        <v>3</v>
      </c>
      <c r="AO15" s="27">
        <v>2</v>
      </c>
      <c r="AP15" s="27">
        <v>4</v>
      </c>
      <c r="AQ15" s="27">
        <v>1</v>
      </c>
      <c r="AR15" s="28">
        <f t="shared" si="0"/>
        <v>101</v>
      </c>
    </row>
    <row r="16" spans="1:44" ht="21.95" customHeight="1" x14ac:dyDescent="0.25">
      <c r="A16" s="27" t="s">
        <v>128</v>
      </c>
      <c r="B16" s="27">
        <v>3</v>
      </c>
      <c r="C16" s="27">
        <v>0</v>
      </c>
      <c r="D16" s="27">
        <v>1</v>
      </c>
      <c r="E16" s="27">
        <v>2</v>
      </c>
      <c r="F16" s="27">
        <v>2</v>
      </c>
      <c r="G16" s="27">
        <v>1</v>
      </c>
      <c r="H16" s="27">
        <v>2</v>
      </c>
      <c r="I16" s="27">
        <v>2</v>
      </c>
      <c r="J16" s="27">
        <v>0</v>
      </c>
      <c r="K16" s="27">
        <v>2</v>
      </c>
      <c r="L16" s="27">
        <v>2</v>
      </c>
      <c r="M16" s="27">
        <v>2</v>
      </c>
      <c r="N16" s="27">
        <v>0</v>
      </c>
      <c r="O16" s="27">
        <v>2</v>
      </c>
      <c r="P16" s="27">
        <v>2</v>
      </c>
      <c r="Q16" s="27">
        <v>4</v>
      </c>
      <c r="R16" s="27">
        <v>1</v>
      </c>
      <c r="S16" s="27">
        <v>2</v>
      </c>
      <c r="T16" s="27">
        <v>2</v>
      </c>
      <c r="U16" s="27">
        <v>0</v>
      </c>
      <c r="V16" s="27">
        <v>1</v>
      </c>
      <c r="W16" s="27">
        <v>3</v>
      </c>
      <c r="X16" s="27">
        <v>1</v>
      </c>
      <c r="Y16" s="27">
        <v>2</v>
      </c>
      <c r="Z16" s="27">
        <v>2</v>
      </c>
      <c r="AA16" s="27">
        <v>1</v>
      </c>
      <c r="AB16" s="27">
        <v>2</v>
      </c>
      <c r="AC16" s="27">
        <v>4</v>
      </c>
      <c r="AD16" s="27">
        <v>0</v>
      </c>
      <c r="AE16" s="27">
        <v>2</v>
      </c>
      <c r="AF16" s="27">
        <v>3</v>
      </c>
      <c r="AG16" s="27">
        <v>3</v>
      </c>
      <c r="AH16" s="27">
        <v>4</v>
      </c>
      <c r="AI16" s="27">
        <v>1</v>
      </c>
      <c r="AJ16" s="27">
        <v>2</v>
      </c>
      <c r="AK16" s="27">
        <v>2</v>
      </c>
      <c r="AL16" s="27">
        <v>2</v>
      </c>
      <c r="AM16" s="27">
        <v>3</v>
      </c>
      <c r="AN16" s="27">
        <v>0</v>
      </c>
      <c r="AO16" s="27">
        <v>2</v>
      </c>
      <c r="AP16" s="27">
        <v>2</v>
      </c>
      <c r="AQ16" s="27">
        <v>2</v>
      </c>
      <c r="AR16" s="28">
        <f t="shared" si="0"/>
        <v>76</v>
      </c>
    </row>
    <row r="17" spans="1:44" ht="21.95" customHeight="1" x14ac:dyDescent="0.25">
      <c r="A17" s="27" t="s">
        <v>129</v>
      </c>
      <c r="B17" s="27">
        <v>2</v>
      </c>
      <c r="C17" s="27">
        <v>0</v>
      </c>
      <c r="D17" s="27">
        <v>0</v>
      </c>
      <c r="E17" s="27">
        <v>4</v>
      </c>
      <c r="F17" s="27">
        <v>4</v>
      </c>
      <c r="G17" s="27">
        <v>3</v>
      </c>
      <c r="H17" s="27">
        <v>1</v>
      </c>
      <c r="I17" s="27">
        <v>3</v>
      </c>
      <c r="J17" s="27">
        <v>2</v>
      </c>
      <c r="K17" s="27">
        <v>2</v>
      </c>
      <c r="L17" s="27">
        <v>4</v>
      </c>
      <c r="M17" s="27">
        <v>4</v>
      </c>
      <c r="N17" s="27">
        <v>1</v>
      </c>
      <c r="O17" s="27">
        <v>2</v>
      </c>
      <c r="P17" s="27">
        <v>3</v>
      </c>
      <c r="Q17" s="27">
        <v>1</v>
      </c>
      <c r="R17" s="27">
        <v>2</v>
      </c>
      <c r="S17" s="27">
        <v>1</v>
      </c>
      <c r="T17" s="27">
        <v>0</v>
      </c>
      <c r="U17" s="27">
        <v>3</v>
      </c>
      <c r="V17" s="27">
        <v>2</v>
      </c>
      <c r="W17" s="27">
        <v>1</v>
      </c>
      <c r="X17" s="27">
        <v>2</v>
      </c>
      <c r="Y17" s="27">
        <v>2</v>
      </c>
      <c r="Z17" s="27">
        <v>1</v>
      </c>
      <c r="AA17" s="27">
        <v>3</v>
      </c>
      <c r="AB17" s="27">
        <v>2</v>
      </c>
      <c r="AC17" s="27">
        <v>2</v>
      </c>
      <c r="AD17" s="27">
        <v>2</v>
      </c>
      <c r="AE17" s="27">
        <v>4</v>
      </c>
      <c r="AF17" s="27">
        <v>1</v>
      </c>
      <c r="AG17" s="27">
        <v>4</v>
      </c>
      <c r="AH17" s="27">
        <v>2</v>
      </c>
      <c r="AI17" s="27">
        <v>4</v>
      </c>
      <c r="AJ17" s="27">
        <v>4</v>
      </c>
      <c r="AK17" s="27">
        <v>2</v>
      </c>
      <c r="AL17" s="27">
        <v>3</v>
      </c>
      <c r="AM17" s="27">
        <v>3</v>
      </c>
      <c r="AN17" s="27">
        <v>2</v>
      </c>
      <c r="AO17" s="27">
        <v>3</v>
      </c>
      <c r="AP17" s="27">
        <v>3</v>
      </c>
      <c r="AQ17" s="27">
        <v>2</v>
      </c>
      <c r="AR17" s="28">
        <f t="shared" si="0"/>
        <v>96</v>
      </c>
    </row>
    <row r="18" spans="1:44" ht="21.95" customHeight="1" x14ac:dyDescent="0.25">
      <c r="A18" s="27" t="s">
        <v>130</v>
      </c>
      <c r="B18" s="27">
        <v>2</v>
      </c>
      <c r="C18" s="27">
        <v>4</v>
      </c>
      <c r="D18" s="27">
        <v>0</v>
      </c>
      <c r="E18" s="27">
        <v>1</v>
      </c>
      <c r="F18" s="27">
        <v>2</v>
      </c>
      <c r="G18" s="27">
        <v>3</v>
      </c>
      <c r="H18" s="27">
        <v>1</v>
      </c>
      <c r="I18" s="27">
        <v>3</v>
      </c>
      <c r="J18" s="27">
        <v>3</v>
      </c>
      <c r="K18" s="27">
        <v>3</v>
      </c>
      <c r="L18" s="27">
        <v>2</v>
      </c>
      <c r="M18" s="27">
        <v>0</v>
      </c>
      <c r="N18" s="27">
        <v>1</v>
      </c>
      <c r="O18" s="27">
        <v>0</v>
      </c>
      <c r="P18" s="27">
        <v>3</v>
      </c>
      <c r="Q18" s="27">
        <v>1</v>
      </c>
      <c r="R18" s="27">
        <v>1</v>
      </c>
      <c r="S18" s="27">
        <v>4</v>
      </c>
      <c r="T18" s="27">
        <v>4</v>
      </c>
      <c r="U18" s="27">
        <v>0</v>
      </c>
      <c r="V18" s="27">
        <v>2</v>
      </c>
      <c r="W18" s="27">
        <v>2</v>
      </c>
      <c r="X18" s="27">
        <v>4</v>
      </c>
      <c r="Y18" s="27">
        <v>0</v>
      </c>
      <c r="Z18" s="27">
        <v>2</v>
      </c>
      <c r="AA18" s="27">
        <v>3</v>
      </c>
      <c r="AB18" s="27">
        <v>3</v>
      </c>
      <c r="AC18" s="27">
        <v>0</v>
      </c>
      <c r="AD18" s="27">
        <v>2</v>
      </c>
      <c r="AE18" s="27">
        <v>2</v>
      </c>
      <c r="AF18" s="27">
        <v>3</v>
      </c>
      <c r="AG18" s="27">
        <v>3</v>
      </c>
      <c r="AH18" s="27">
        <v>1</v>
      </c>
      <c r="AI18" s="27">
        <v>0</v>
      </c>
      <c r="AJ18" s="27">
        <v>2</v>
      </c>
      <c r="AK18" s="27">
        <v>2</v>
      </c>
      <c r="AL18" s="27">
        <v>1</v>
      </c>
      <c r="AM18" s="27">
        <v>1</v>
      </c>
      <c r="AN18" s="27">
        <v>0</v>
      </c>
      <c r="AO18" s="27">
        <v>2</v>
      </c>
      <c r="AP18" s="27">
        <v>4</v>
      </c>
      <c r="AQ18" s="27">
        <v>2</v>
      </c>
      <c r="AR18" s="28">
        <f t="shared" si="0"/>
        <v>79</v>
      </c>
    </row>
    <row r="19" spans="1:44" ht="21.95" customHeight="1" x14ac:dyDescent="0.25">
      <c r="A19" s="27" t="s">
        <v>131</v>
      </c>
      <c r="B19" s="27">
        <v>3</v>
      </c>
      <c r="C19" s="27">
        <v>2</v>
      </c>
      <c r="D19" s="27">
        <v>4</v>
      </c>
      <c r="E19" s="27">
        <v>0</v>
      </c>
      <c r="F19" s="27">
        <v>2</v>
      </c>
      <c r="G19" s="27">
        <v>1</v>
      </c>
      <c r="H19" s="27">
        <v>1</v>
      </c>
      <c r="I19" s="27">
        <v>3</v>
      </c>
      <c r="J19" s="27">
        <v>3</v>
      </c>
      <c r="K19" s="27">
        <v>3</v>
      </c>
      <c r="L19" s="27">
        <v>3</v>
      </c>
      <c r="M19" s="27">
        <v>1</v>
      </c>
      <c r="N19" s="27">
        <v>0</v>
      </c>
      <c r="O19" s="27">
        <v>0</v>
      </c>
      <c r="P19" s="27">
        <v>1</v>
      </c>
      <c r="Q19" s="27">
        <v>0</v>
      </c>
      <c r="R19" s="27">
        <v>1</v>
      </c>
      <c r="S19" s="27">
        <v>2</v>
      </c>
      <c r="T19" s="27">
        <v>3</v>
      </c>
      <c r="U19" s="27">
        <v>2</v>
      </c>
      <c r="V19" s="27">
        <v>2</v>
      </c>
      <c r="W19" s="27">
        <v>2</v>
      </c>
      <c r="X19" s="27">
        <v>1</v>
      </c>
      <c r="Y19" s="27">
        <v>4</v>
      </c>
      <c r="Z19" s="27">
        <v>2</v>
      </c>
      <c r="AA19" s="27">
        <v>2</v>
      </c>
      <c r="AB19" s="27">
        <v>2</v>
      </c>
      <c r="AC19" s="27">
        <v>3</v>
      </c>
      <c r="AD19" s="27">
        <v>3</v>
      </c>
      <c r="AE19" s="27">
        <v>1</v>
      </c>
      <c r="AF19" s="27">
        <v>1</v>
      </c>
      <c r="AG19" s="27">
        <v>2</v>
      </c>
      <c r="AH19" s="27">
        <v>0</v>
      </c>
      <c r="AI19" s="27">
        <v>1</v>
      </c>
      <c r="AJ19" s="27">
        <v>2</v>
      </c>
      <c r="AK19" s="27">
        <v>3</v>
      </c>
      <c r="AL19" s="27">
        <v>4</v>
      </c>
      <c r="AM19" s="27">
        <v>3</v>
      </c>
      <c r="AN19" s="27">
        <v>4</v>
      </c>
      <c r="AO19" s="27">
        <v>0</v>
      </c>
      <c r="AP19" s="27">
        <v>4</v>
      </c>
      <c r="AQ19" s="27">
        <v>1</v>
      </c>
      <c r="AR19" s="28">
        <f t="shared" si="0"/>
        <v>82</v>
      </c>
    </row>
    <row r="20" spans="1:44" ht="21.95" customHeight="1" x14ac:dyDescent="0.25">
      <c r="A20" s="27" t="s">
        <v>132</v>
      </c>
      <c r="B20" s="27">
        <v>4</v>
      </c>
      <c r="C20" s="27">
        <v>3</v>
      </c>
      <c r="D20" s="27">
        <v>3</v>
      </c>
      <c r="E20" s="27">
        <v>0</v>
      </c>
      <c r="F20" s="27">
        <v>4</v>
      </c>
      <c r="G20" s="27">
        <v>1</v>
      </c>
      <c r="H20" s="27">
        <v>4</v>
      </c>
      <c r="I20" s="27">
        <v>3</v>
      </c>
      <c r="J20" s="27">
        <v>2</v>
      </c>
      <c r="K20" s="27">
        <v>3</v>
      </c>
      <c r="L20" s="27">
        <v>2</v>
      </c>
      <c r="M20" s="27">
        <v>1</v>
      </c>
      <c r="N20" s="27">
        <v>2</v>
      </c>
      <c r="O20" s="27">
        <v>3</v>
      </c>
      <c r="P20" s="27">
        <v>2</v>
      </c>
      <c r="Q20" s="27">
        <v>2</v>
      </c>
      <c r="R20" s="27">
        <v>2</v>
      </c>
      <c r="S20" s="27">
        <v>3</v>
      </c>
      <c r="T20" s="27">
        <v>3</v>
      </c>
      <c r="U20" s="27">
        <v>2</v>
      </c>
      <c r="V20" s="27">
        <v>4</v>
      </c>
      <c r="W20" s="27">
        <v>4</v>
      </c>
      <c r="X20" s="27">
        <v>0</v>
      </c>
      <c r="Y20" s="27">
        <v>2</v>
      </c>
      <c r="Z20" s="27">
        <v>3</v>
      </c>
      <c r="AA20" s="27">
        <v>4</v>
      </c>
      <c r="AB20" s="27">
        <v>4</v>
      </c>
      <c r="AC20" s="27">
        <v>2</v>
      </c>
      <c r="AD20" s="27">
        <v>4</v>
      </c>
      <c r="AE20" s="27">
        <v>1</v>
      </c>
      <c r="AF20" s="27">
        <v>2</v>
      </c>
      <c r="AG20" s="27">
        <v>2</v>
      </c>
      <c r="AH20" s="27">
        <v>0</v>
      </c>
      <c r="AI20" s="27">
        <v>3</v>
      </c>
      <c r="AJ20" s="27">
        <v>4</v>
      </c>
      <c r="AK20" s="27">
        <v>3</v>
      </c>
      <c r="AL20" s="27">
        <v>4</v>
      </c>
      <c r="AM20" s="27">
        <v>2</v>
      </c>
      <c r="AN20" s="27">
        <v>1</v>
      </c>
      <c r="AO20" s="27">
        <v>3</v>
      </c>
      <c r="AP20" s="27">
        <v>2</v>
      </c>
      <c r="AQ20" s="27">
        <v>3</v>
      </c>
      <c r="AR20" s="28">
        <f t="shared" si="0"/>
        <v>106</v>
      </c>
    </row>
    <row r="21" spans="1:44" ht="21.95" customHeight="1" x14ac:dyDescent="0.25">
      <c r="A21" s="27" t="s">
        <v>133</v>
      </c>
      <c r="B21" s="27">
        <v>3</v>
      </c>
      <c r="C21" s="27">
        <v>4</v>
      </c>
      <c r="D21" s="27">
        <v>4</v>
      </c>
      <c r="E21" s="27">
        <v>4</v>
      </c>
      <c r="F21" s="27">
        <v>2</v>
      </c>
      <c r="G21" s="27">
        <v>3</v>
      </c>
      <c r="H21" s="27">
        <v>3</v>
      </c>
      <c r="I21" s="27">
        <v>4</v>
      </c>
      <c r="J21" s="27">
        <v>3</v>
      </c>
      <c r="K21" s="27">
        <v>2</v>
      </c>
      <c r="L21" s="27">
        <v>1</v>
      </c>
      <c r="M21" s="27">
        <v>4</v>
      </c>
      <c r="N21" s="27">
        <v>4</v>
      </c>
      <c r="O21" s="27">
        <v>4</v>
      </c>
      <c r="P21" s="27">
        <v>4</v>
      </c>
      <c r="Q21" s="27">
        <v>2</v>
      </c>
      <c r="R21" s="27">
        <v>3</v>
      </c>
      <c r="S21" s="27">
        <v>3</v>
      </c>
      <c r="T21" s="27">
        <v>4</v>
      </c>
      <c r="U21" s="27">
        <v>3</v>
      </c>
      <c r="V21" s="27">
        <v>4</v>
      </c>
      <c r="W21" s="27">
        <v>3</v>
      </c>
      <c r="X21" s="27">
        <v>1</v>
      </c>
      <c r="Y21" s="27">
        <v>4</v>
      </c>
      <c r="Z21" s="27">
        <v>1</v>
      </c>
      <c r="AA21" s="27">
        <v>4</v>
      </c>
      <c r="AB21" s="27">
        <v>3</v>
      </c>
      <c r="AC21" s="27">
        <v>3</v>
      </c>
      <c r="AD21" s="27">
        <v>3</v>
      </c>
      <c r="AE21" s="27">
        <v>2</v>
      </c>
      <c r="AF21" s="27">
        <v>4</v>
      </c>
      <c r="AG21" s="27">
        <v>3</v>
      </c>
      <c r="AH21" s="27">
        <v>4</v>
      </c>
      <c r="AI21" s="27">
        <v>3</v>
      </c>
      <c r="AJ21" s="27">
        <v>4</v>
      </c>
      <c r="AK21" s="27">
        <v>3</v>
      </c>
      <c r="AL21" s="27">
        <v>4</v>
      </c>
      <c r="AM21" s="27">
        <v>3</v>
      </c>
      <c r="AN21" s="27">
        <v>4</v>
      </c>
      <c r="AO21" s="27">
        <v>4</v>
      </c>
      <c r="AP21" s="27">
        <v>2</v>
      </c>
      <c r="AQ21" s="27">
        <v>4</v>
      </c>
      <c r="AR21" s="28">
        <f t="shared" si="0"/>
        <v>134</v>
      </c>
    </row>
    <row r="22" spans="1:44" ht="21.95" customHeight="1" x14ac:dyDescent="0.25">
      <c r="A22" s="27" t="s">
        <v>134</v>
      </c>
      <c r="B22" s="27">
        <v>0</v>
      </c>
      <c r="C22" s="27">
        <v>0</v>
      </c>
      <c r="D22" s="27">
        <v>3</v>
      </c>
      <c r="E22" s="27">
        <v>1</v>
      </c>
      <c r="F22" s="27">
        <v>1</v>
      </c>
      <c r="G22" s="27">
        <v>0</v>
      </c>
      <c r="H22" s="27">
        <v>3</v>
      </c>
      <c r="I22" s="27">
        <v>4</v>
      </c>
      <c r="J22" s="27">
        <v>1</v>
      </c>
      <c r="K22" s="27">
        <v>3</v>
      </c>
      <c r="L22" s="27">
        <v>3</v>
      </c>
      <c r="M22" s="27">
        <v>3</v>
      </c>
      <c r="N22" s="27">
        <v>0</v>
      </c>
      <c r="O22" s="27">
        <v>0</v>
      </c>
      <c r="P22" s="27">
        <v>2</v>
      </c>
      <c r="Q22" s="27">
        <v>2</v>
      </c>
      <c r="R22" s="27">
        <v>2</v>
      </c>
      <c r="S22" s="27">
        <v>2</v>
      </c>
      <c r="T22" s="27">
        <v>2</v>
      </c>
      <c r="U22" s="27">
        <v>1</v>
      </c>
      <c r="V22" s="27">
        <v>3</v>
      </c>
      <c r="W22" s="27">
        <v>3</v>
      </c>
      <c r="X22" s="27">
        <v>0</v>
      </c>
      <c r="Y22" s="27">
        <v>4</v>
      </c>
      <c r="Z22" s="27">
        <v>4</v>
      </c>
      <c r="AA22" s="27">
        <v>2</v>
      </c>
      <c r="AB22" s="27">
        <v>0</v>
      </c>
      <c r="AC22" s="27">
        <v>0</v>
      </c>
      <c r="AD22" s="27">
        <v>2</v>
      </c>
      <c r="AE22" s="27">
        <v>4</v>
      </c>
      <c r="AF22" s="27">
        <v>4</v>
      </c>
      <c r="AG22" s="27">
        <v>2</v>
      </c>
      <c r="AH22" s="27">
        <v>2</v>
      </c>
      <c r="AI22" s="27">
        <v>2</v>
      </c>
      <c r="AJ22" s="27">
        <v>0</v>
      </c>
      <c r="AK22" s="27">
        <v>1</v>
      </c>
      <c r="AL22" s="27">
        <v>1</v>
      </c>
      <c r="AM22" s="27">
        <v>0</v>
      </c>
      <c r="AN22" s="27">
        <v>1</v>
      </c>
      <c r="AO22" s="27">
        <v>0</v>
      </c>
      <c r="AP22" s="27">
        <v>2</v>
      </c>
      <c r="AQ22" s="27">
        <v>1</v>
      </c>
      <c r="AR22" s="28">
        <f t="shared" si="0"/>
        <v>71</v>
      </c>
    </row>
    <row r="23" spans="1:44" ht="21.95" customHeight="1" x14ac:dyDescent="0.25">
      <c r="A23" s="27" t="s">
        <v>135</v>
      </c>
      <c r="B23" s="27">
        <v>3</v>
      </c>
      <c r="C23" s="27">
        <v>4</v>
      </c>
      <c r="D23" s="27">
        <v>3</v>
      </c>
      <c r="E23" s="27">
        <v>4</v>
      </c>
      <c r="F23" s="27">
        <v>3</v>
      </c>
      <c r="G23" s="27">
        <v>2</v>
      </c>
      <c r="H23" s="27">
        <v>4</v>
      </c>
      <c r="I23" s="27">
        <v>2</v>
      </c>
      <c r="J23" s="27">
        <v>4</v>
      </c>
      <c r="K23" s="27">
        <v>1</v>
      </c>
      <c r="L23" s="27">
        <v>3</v>
      </c>
      <c r="M23" s="27">
        <v>4</v>
      </c>
      <c r="N23" s="27">
        <v>3</v>
      </c>
      <c r="O23" s="27">
        <v>4</v>
      </c>
      <c r="P23" s="27">
        <v>3</v>
      </c>
      <c r="Q23" s="27">
        <v>2</v>
      </c>
      <c r="R23" s="27">
        <v>2</v>
      </c>
      <c r="S23" s="27">
        <v>3</v>
      </c>
      <c r="T23" s="27">
        <v>3</v>
      </c>
      <c r="U23" s="27">
        <v>2</v>
      </c>
      <c r="V23" s="27">
        <v>1</v>
      </c>
      <c r="W23" s="27">
        <v>3</v>
      </c>
      <c r="X23" s="27">
        <v>4</v>
      </c>
      <c r="Y23" s="27">
        <v>3</v>
      </c>
      <c r="Z23" s="27">
        <v>1</v>
      </c>
      <c r="AA23" s="27">
        <v>2</v>
      </c>
      <c r="AB23" s="27">
        <v>2</v>
      </c>
      <c r="AC23" s="27">
        <v>1</v>
      </c>
      <c r="AD23" s="27">
        <v>2</v>
      </c>
      <c r="AE23" s="27">
        <v>4</v>
      </c>
      <c r="AF23" s="27">
        <v>0</v>
      </c>
      <c r="AG23" s="27">
        <v>0</v>
      </c>
      <c r="AH23" s="27">
        <v>1</v>
      </c>
      <c r="AI23" s="27">
        <v>2</v>
      </c>
      <c r="AJ23" s="27">
        <v>2</v>
      </c>
      <c r="AK23" s="27">
        <v>2</v>
      </c>
      <c r="AL23" s="27">
        <v>2</v>
      </c>
      <c r="AM23" s="27">
        <v>2</v>
      </c>
      <c r="AN23" s="27">
        <v>4</v>
      </c>
      <c r="AO23" s="27">
        <v>4</v>
      </c>
      <c r="AP23" s="27">
        <v>1</v>
      </c>
      <c r="AQ23" s="27">
        <v>1</v>
      </c>
      <c r="AR23" s="28">
        <f t="shared" si="0"/>
        <v>103</v>
      </c>
    </row>
    <row r="24" spans="1:44" ht="21.95" customHeight="1" x14ac:dyDescent="0.25">
      <c r="A24" s="27" t="s">
        <v>136</v>
      </c>
      <c r="B24" s="27">
        <v>2</v>
      </c>
      <c r="C24" s="27">
        <v>3</v>
      </c>
      <c r="D24" s="27">
        <v>3</v>
      </c>
      <c r="E24" s="27">
        <v>2</v>
      </c>
      <c r="F24" s="27">
        <v>1</v>
      </c>
      <c r="G24" s="27">
        <v>2</v>
      </c>
      <c r="H24" s="27">
        <v>4</v>
      </c>
      <c r="I24" s="27">
        <v>1</v>
      </c>
      <c r="J24" s="27">
        <v>2</v>
      </c>
      <c r="K24" s="27">
        <v>3</v>
      </c>
      <c r="L24" s="27">
        <v>1</v>
      </c>
      <c r="M24" s="27">
        <v>0</v>
      </c>
      <c r="N24" s="27">
        <v>2</v>
      </c>
      <c r="O24" s="27">
        <v>3</v>
      </c>
      <c r="P24" s="27">
        <v>4</v>
      </c>
      <c r="Q24" s="27">
        <v>2</v>
      </c>
      <c r="R24" s="27">
        <v>1</v>
      </c>
      <c r="S24" s="27">
        <v>4</v>
      </c>
      <c r="T24" s="27">
        <v>3</v>
      </c>
      <c r="U24" s="27">
        <v>3</v>
      </c>
      <c r="V24" s="27">
        <v>3</v>
      </c>
      <c r="W24" s="27">
        <v>2</v>
      </c>
      <c r="X24" s="27">
        <v>2</v>
      </c>
      <c r="Y24" s="27">
        <v>0</v>
      </c>
      <c r="Z24" s="27">
        <v>2</v>
      </c>
      <c r="AA24" s="27">
        <v>1</v>
      </c>
      <c r="AB24" s="27">
        <v>1</v>
      </c>
      <c r="AC24" s="27">
        <v>3</v>
      </c>
      <c r="AD24" s="27">
        <v>2</v>
      </c>
      <c r="AE24" s="27">
        <v>1</v>
      </c>
      <c r="AF24" s="27">
        <v>4</v>
      </c>
      <c r="AG24" s="27">
        <v>3</v>
      </c>
      <c r="AH24" s="27">
        <v>1</v>
      </c>
      <c r="AI24" s="27">
        <v>3</v>
      </c>
      <c r="AJ24" s="27">
        <v>1</v>
      </c>
      <c r="AK24" s="27">
        <v>3</v>
      </c>
      <c r="AL24" s="27">
        <v>3</v>
      </c>
      <c r="AM24" s="27">
        <v>0</v>
      </c>
      <c r="AN24" s="27">
        <v>2</v>
      </c>
      <c r="AO24" s="27">
        <v>3</v>
      </c>
      <c r="AP24" s="27">
        <v>3</v>
      </c>
      <c r="AQ24" s="27">
        <v>1</v>
      </c>
      <c r="AR24" s="28">
        <f t="shared" si="0"/>
        <v>90</v>
      </c>
    </row>
    <row r="25" spans="1:44" ht="21.95" customHeight="1" x14ac:dyDescent="0.25">
      <c r="A25" s="27" t="s">
        <v>137</v>
      </c>
      <c r="B25" s="27">
        <v>3</v>
      </c>
      <c r="C25" s="27">
        <v>0</v>
      </c>
      <c r="D25" s="27">
        <v>0</v>
      </c>
      <c r="E25" s="27">
        <v>3</v>
      </c>
      <c r="F25" s="27">
        <v>3</v>
      </c>
      <c r="G25" s="27">
        <v>2</v>
      </c>
      <c r="H25" s="27">
        <v>3</v>
      </c>
      <c r="I25" s="27">
        <v>3</v>
      </c>
      <c r="J25" s="27">
        <v>2</v>
      </c>
      <c r="K25" s="27">
        <v>3</v>
      </c>
      <c r="L25" s="27">
        <v>3</v>
      </c>
      <c r="M25" s="27">
        <v>0</v>
      </c>
      <c r="N25" s="27">
        <v>0</v>
      </c>
      <c r="O25" s="27">
        <v>3</v>
      </c>
      <c r="P25" s="27">
        <v>4</v>
      </c>
      <c r="Q25" s="27">
        <v>4</v>
      </c>
      <c r="R25" s="27">
        <v>4</v>
      </c>
      <c r="S25" s="27">
        <v>2</v>
      </c>
      <c r="T25" s="27">
        <v>2</v>
      </c>
      <c r="U25" s="27">
        <v>2</v>
      </c>
      <c r="V25" s="27">
        <v>2</v>
      </c>
      <c r="W25" s="27">
        <v>1</v>
      </c>
      <c r="X25" s="27">
        <v>1</v>
      </c>
      <c r="Y25" s="27">
        <v>1</v>
      </c>
      <c r="Z25" s="27">
        <v>4</v>
      </c>
      <c r="AA25" s="27">
        <v>3</v>
      </c>
      <c r="AB25" s="27">
        <v>2</v>
      </c>
      <c r="AC25" s="27">
        <v>0</v>
      </c>
      <c r="AD25" s="27">
        <v>2</v>
      </c>
      <c r="AE25" s="27">
        <v>3</v>
      </c>
      <c r="AF25" s="27">
        <v>4</v>
      </c>
      <c r="AG25" s="27">
        <v>2</v>
      </c>
      <c r="AH25" s="27">
        <v>0</v>
      </c>
      <c r="AI25" s="27">
        <v>1</v>
      </c>
      <c r="AJ25" s="27">
        <v>4</v>
      </c>
      <c r="AK25" s="27">
        <v>4</v>
      </c>
      <c r="AL25" s="27">
        <v>3</v>
      </c>
      <c r="AM25" s="27">
        <v>2</v>
      </c>
      <c r="AN25" s="27">
        <v>3</v>
      </c>
      <c r="AO25" s="27">
        <v>2</v>
      </c>
      <c r="AP25" s="27">
        <v>4</v>
      </c>
      <c r="AQ25" s="27">
        <v>3</v>
      </c>
      <c r="AR25" s="28">
        <f t="shared" si="0"/>
        <v>97</v>
      </c>
    </row>
    <row r="26" spans="1:44" ht="21.95" customHeight="1" x14ac:dyDescent="0.25">
      <c r="A26" s="27" t="s">
        <v>138</v>
      </c>
      <c r="B26" s="27">
        <v>1</v>
      </c>
      <c r="C26" s="27">
        <v>1</v>
      </c>
      <c r="D26" s="27">
        <v>3</v>
      </c>
      <c r="E26" s="27">
        <v>0</v>
      </c>
      <c r="F26" s="27">
        <v>3</v>
      </c>
      <c r="G26" s="27">
        <v>2</v>
      </c>
      <c r="H26" s="27">
        <v>2</v>
      </c>
      <c r="I26" s="27">
        <v>2</v>
      </c>
      <c r="J26" s="27">
        <v>0</v>
      </c>
      <c r="K26" s="27">
        <v>1</v>
      </c>
      <c r="L26" s="27">
        <v>2</v>
      </c>
      <c r="M26" s="27">
        <v>0</v>
      </c>
      <c r="N26" s="27">
        <v>2</v>
      </c>
      <c r="O26" s="27">
        <v>2</v>
      </c>
      <c r="P26" s="27">
        <v>1</v>
      </c>
      <c r="Q26" s="27">
        <v>2</v>
      </c>
      <c r="R26" s="27">
        <v>2</v>
      </c>
      <c r="S26" s="27">
        <v>1</v>
      </c>
      <c r="T26" s="27">
        <v>2</v>
      </c>
      <c r="U26" s="27">
        <v>0</v>
      </c>
      <c r="V26" s="27">
        <v>2</v>
      </c>
      <c r="W26" s="27">
        <v>0</v>
      </c>
      <c r="X26" s="27">
        <v>1</v>
      </c>
      <c r="Y26" s="27">
        <v>3</v>
      </c>
      <c r="Z26" s="27">
        <v>1</v>
      </c>
      <c r="AA26" s="27">
        <v>2</v>
      </c>
      <c r="AB26" s="27">
        <v>3</v>
      </c>
      <c r="AC26" s="27">
        <v>1</v>
      </c>
      <c r="AD26" s="27">
        <v>3</v>
      </c>
      <c r="AE26" s="27">
        <v>0</v>
      </c>
      <c r="AF26" s="27">
        <v>2</v>
      </c>
      <c r="AG26" s="27">
        <v>0</v>
      </c>
      <c r="AH26" s="27">
        <v>2</v>
      </c>
      <c r="AI26" s="27">
        <v>1</v>
      </c>
      <c r="AJ26" s="27">
        <v>0</v>
      </c>
      <c r="AK26" s="27">
        <v>1</v>
      </c>
      <c r="AL26" s="27">
        <v>1</v>
      </c>
      <c r="AM26" s="27">
        <v>1</v>
      </c>
      <c r="AN26" s="27">
        <v>0</v>
      </c>
      <c r="AO26" s="27">
        <v>1</v>
      </c>
      <c r="AP26" s="27">
        <v>0</v>
      </c>
      <c r="AQ26" s="27">
        <v>2</v>
      </c>
      <c r="AR26" s="28">
        <f t="shared" si="0"/>
        <v>56</v>
      </c>
    </row>
    <row r="27" spans="1:44" ht="21.95" customHeight="1" x14ac:dyDescent="0.25">
      <c r="A27" s="27" t="s">
        <v>139</v>
      </c>
      <c r="B27" s="27">
        <v>0</v>
      </c>
      <c r="C27" s="27">
        <v>0</v>
      </c>
      <c r="D27" s="27">
        <v>0</v>
      </c>
      <c r="E27" s="27">
        <v>3</v>
      </c>
      <c r="F27" s="27">
        <v>1</v>
      </c>
      <c r="G27" s="27">
        <v>2</v>
      </c>
      <c r="H27" s="27">
        <v>0</v>
      </c>
      <c r="I27" s="27">
        <v>2</v>
      </c>
      <c r="J27" s="27">
        <v>2</v>
      </c>
      <c r="K27" s="27">
        <v>2</v>
      </c>
      <c r="L27" s="27">
        <v>0</v>
      </c>
      <c r="M27" s="27">
        <v>3</v>
      </c>
      <c r="N27" s="27">
        <v>3</v>
      </c>
      <c r="O27" s="27">
        <v>1</v>
      </c>
      <c r="P27" s="27">
        <v>2</v>
      </c>
      <c r="Q27" s="27">
        <v>2</v>
      </c>
      <c r="R27" s="27">
        <v>2</v>
      </c>
      <c r="S27" s="27">
        <v>2</v>
      </c>
      <c r="T27" s="27">
        <v>1</v>
      </c>
      <c r="U27" s="27">
        <v>2</v>
      </c>
      <c r="V27" s="27">
        <v>1</v>
      </c>
      <c r="W27" s="27">
        <v>2</v>
      </c>
      <c r="X27" s="27">
        <v>4</v>
      </c>
      <c r="Y27" s="27">
        <v>2</v>
      </c>
      <c r="Z27" s="27">
        <v>3</v>
      </c>
      <c r="AA27" s="27">
        <v>2</v>
      </c>
      <c r="AB27" s="27">
        <v>2</v>
      </c>
      <c r="AC27" s="27">
        <v>3</v>
      </c>
      <c r="AD27" s="27">
        <v>3</v>
      </c>
      <c r="AE27" s="27">
        <v>1</v>
      </c>
      <c r="AF27" s="27">
        <v>2</v>
      </c>
      <c r="AG27" s="27">
        <v>2</v>
      </c>
      <c r="AH27" s="27">
        <v>1</v>
      </c>
      <c r="AI27" s="27">
        <v>1</v>
      </c>
      <c r="AJ27" s="27">
        <v>3</v>
      </c>
      <c r="AK27" s="27">
        <v>4</v>
      </c>
      <c r="AL27" s="27">
        <v>1</v>
      </c>
      <c r="AM27" s="27">
        <v>0</v>
      </c>
      <c r="AN27" s="27">
        <v>3</v>
      </c>
      <c r="AO27" s="27">
        <v>4</v>
      </c>
      <c r="AP27" s="27">
        <v>1</v>
      </c>
      <c r="AQ27" s="27">
        <v>3</v>
      </c>
      <c r="AR27" s="28">
        <f t="shared" si="0"/>
        <v>78</v>
      </c>
    </row>
    <row r="28" spans="1:44" ht="21.95" customHeight="1" x14ac:dyDescent="0.25">
      <c r="A28" s="27" t="s">
        <v>140</v>
      </c>
      <c r="B28" s="27">
        <v>1</v>
      </c>
      <c r="C28" s="27">
        <v>3</v>
      </c>
      <c r="D28" s="27">
        <v>0</v>
      </c>
      <c r="E28" s="27">
        <v>2</v>
      </c>
      <c r="F28" s="27">
        <v>1</v>
      </c>
      <c r="G28" s="27">
        <v>1</v>
      </c>
      <c r="H28" s="27">
        <v>1</v>
      </c>
      <c r="I28" s="27">
        <v>2</v>
      </c>
      <c r="J28" s="27">
        <v>3</v>
      </c>
      <c r="K28" s="27">
        <v>0</v>
      </c>
      <c r="L28" s="27">
        <v>0</v>
      </c>
      <c r="M28" s="27">
        <v>0</v>
      </c>
      <c r="N28" s="27">
        <v>1</v>
      </c>
      <c r="O28" s="27">
        <v>2</v>
      </c>
      <c r="P28" s="27">
        <v>3</v>
      </c>
      <c r="Q28" s="27">
        <v>0</v>
      </c>
      <c r="R28" s="27">
        <v>2</v>
      </c>
      <c r="S28" s="27">
        <v>3</v>
      </c>
      <c r="T28" s="27">
        <v>1</v>
      </c>
      <c r="U28" s="27">
        <v>2</v>
      </c>
      <c r="V28" s="27">
        <v>0</v>
      </c>
      <c r="W28" s="27">
        <v>3</v>
      </c>
      <c r="X28" s="27">
        <v>0</v>
      </c>
      <c r="Y28" s="27">
        <v>0</v>
      </c>
      <c r="Z28" s="27">
        <v>3</v>
      </c>
      <c r="AA28" s="27">
        <v>0</v>
      </c>
      <c r="AB28" s="27">
        <v>0</v>
      </c>
      <c r="AC28" s="27">
        <v>0</v>
      </c>
      <c r="AD28" s="27">
        <v>2</v>
      </c>
      <c r="AE28" s="27">
        <v>4</v>
      </c>
      <c r="AF28" s="27">
        <v>0</v>
      </c>
      <c r="AG28" s="27">
        <v>2</v>
      </c>
      <c r="AH28" s="27">
        <v>0</v>
      </c>
      <c r="AI28" s="27">
        <v>0</v>
      </c>
      <c r="AJ28" s="27">
        <v>0</v>
      </c>
      <c r="AK28" s="27">
        <v>2</v>
      </c>
      <c r="AL28" s="27">
        <v>1</v>
      </c>
      <c r="AM28" s="27">
        <v>2</v>
      </c>
      <c r="AN28" s="27">
        <v>2</v>
      </c>
      <c r="AO28" s="27">
        <v>0</v>
      </c>
      <c r="AP28" s="27">
        <v>1</v>
      </c>
      <c r="AQ28" s="27">
        <v>0</v>
      </c>
      <c r="AR28" s="28">
        <f t="shared" si="0"/>
        <v>50</v>
      </c>
    </row>
    <row r="29" spans="1:44" ht="21.95" customHeight="1" x14ac:dyDescent="0.25">
      <c r="A29" s="27" t="s">
        <v>141</v>
      </c>
      <c r="B29" s="27">
        <v>0</v>
      </c>
      <c r="C29" s="27">
        <v>0</v>
      </c>
      <c r="D29" s="27">
        <v>0</v>
      </c>
      <c r="E29" s="27">
        <v>1</v>
      </c>
      <c r="F29" s="27">
        <v>0</v>
      </c>
      <c r="G29" s="27">
        <v>2</v>
      </c>
      <c r="H29" s="27">
        <v>3</v>
      </c>
      <c r="I29" s="27">
        <v>2</v>
      </c>
      <c r="J29" s="27">
        <v>0</v>
      </c>
      <c r="K29" s="27">
        <v>2</v>
      </c>
      <c r="L29" s="27">
        <v>1</v>
      </c>
      <c r="M29" s="27">
        <v>1</v>
      </c>
      <c r="N29" s="27">
        <v>1</v>
      </c>
      <c r="O29" s="27">
        <v>1</v>
      </c>
      <c r="P29" s="27">
        <v>3</v>
      </c>
      <c r="Q29" s="27">
        <v>1</v>
      </c>
      <c r="R29" s="27">
        <v>2</v>
      </c>
      <c r="S29" s="27">
        <v>1</v>
      </c>
      <c r="T29" s="27">
        <v>2</v>
      </c>
      <c r="U29" s="27">
        <v>1</v>
      </c>
      <c r="V29" s="27">
        <v>0</v>
      </c>
      <c r="W29" s="27">
        <v>1</v>
      </c>
      <c r="X29" s="27">
        <v>0</v>
      </c>
      <c r="Y29" s="27">
        <v>0</v>
      </c>
      <c r="Z29" s="27">
        <v>1</v>
      </c>
      <c r="AA29" s="27">
        <v>3</v>
      </c>
      <c r="AB29" s="27">
        <v>1</v>
      </c>
      <c r="AC29" s="27">
        <v>3</v>
      </c>
      <c r="AD29" s="27">
        <v>2</v>
      </c>
      <c r="AE29" s="27">
        <v>0</v>
      </c>
      <c r="AF29" s="27">
        <v>3</v>
      </c>
      <c r="AG29" s="27">
        <v>2</v>
      </c>
      <c r="AH29" s="27">
        <v>0</v>
      </c>
      <c r="AI29" s="27">
        <v>1</v>
      </c>
      <c r="AJ29" s="27">
        <v>1</v>
      </c>
      <c r="AK29" s="27">
        <v>1</v>
      </c>
      <c r="AL29" s="27">
        <v>1</v>
      </c>
      <c r="AM29" s="27">
        <v>2</v>
      </c>
      <c r="AN29" s="27">
        <v>1</v>
      </c>
      <c r="AO29" s="27">
        <v>2</v>
      </c>
      <c r="AP29" s="27">
        <v>2</v>
      </c>
      <c r="AQ29" s="27">
        <v>3</v>
      </c>
      <c r="AR29" s="28">
        <f t="shared" si="0"/>
        <v>54</v>
      </c>
    </row>
    <row r="30" spans="1:44" ht="21.95" customHeight="1" x14ac:dyDescent="0.25">
      <c r="A30" s="27" t="s">
        <v>142</v>
      </c>
      <c r="B30" s="27">
        <v>1</v>
      </c>
      <c r="C30" s="27">
        <v>4</v>
      </c>
      <c r="D30" s="27">
        <v>2</v>
      </c>
      <c r="E30" s="27">
        <v>0</v>
      </c>
      <c r="F30" s="27">
        <v>0</v>
      </c>
      <c r="G30" s="27">
        <v>4</v>
      </c>
      <c r="H30" s="27">
        <v>3</v>
      </c>
      <c r="I30" s="27">
        <v>3</v>
      </c>
      <c r="J30" s="27">
        <v>2</v>
      </c>
      <c r="K30" s="27">
        <v>1</v>
      </c>
      <c r="L30" s="27">
        <v>2</v>
      </c>
      <c r="M30" s="27">
        <v>0</v>
      </c>
      <c r="N30" s="27">
        <v>2</v>
      </c>
      <c r="O30" s="27">
        <v>1</v>
      </c>
      <c r="P30" s="27">
        <v>4</v>
      </c>
      <c r="Q30" s="27">
        <v>3</v>
      </c>
      <c r="R30" s="27">
        <v>3</v>
      </c>
      <c r="S30" s="27">
        <v>3</v>
      </c>
      <c r="T30" s="27">
        <v>3</v>
      </c>
      <c r="U30" s="27">
        <v>3</v>
      </c>
      <c r="V30" s="27">
        <v>0</v>
      </c>
      <c r="W30" s="27">
        <v>2</v>
      </c>
      <c r="X30" s="27">
        <v>1</v>
      </c>
      <c r="Y30" s="27">
        <v>2</v>
      </c>
      <c r="Z30" s="27">
        <v>1</v>
      </c>
      <c r="AA30" s="27">
        <v>1</v>
      </c>
      <c r="AB30" s="27">
        <v>1</v>
      </c>
      <c r="AC30" s="27">
        <v>0</v>
      </c>
      <c r="AD30" s="27">
        <v>2</v>
      </c>
      <c r="AE30" s="27">
        <v>1</v>
      </c>
      <c r="AF30" s="27">
        <v>1</v>
      </c>
      <c r="AG30" s="27">
        <v>1</v>
      </c>
      <c r="AH30" s="27">
        <v>1</v>
      </c>
      <c r="AI30" s="27">
        <v>0</v>
      </c>
      <c r="AJ30" s="27">
        <v>1</v>
      </c>
      <c r="AK30" s="27">
        <v>3</v>
      </c>
      <c r="AL30" s="27">
        <v>0</v>
      </c>
      <c r="AM30" s="27">
        <v>0</v>
      </c>
      <c r="AN30" s="27">
        <v>1</v>
      </c>
      <c r="AO30" s="27">
        <v>2</v>
      </c>
      <c r="AP30" s="27">
        <v>0</v>
      </c>
      <c r="AQ30" s="27">
        <v>2</v>
      </c>
      <c r="AR30" s="28">
        <f t="shared" si="0"/>
        <v>67</v>
      </c>
    </row>
    <row r="31" spans="1:44" ht="21.95" customHeight="1" x14ac:dyDescent="0.25">
      <c r="A31" s="27" t="s">
        <v>143</v>
      </c>
      <c r="B31" s="27">
        <v>0</v>
      </c>
      <c r="C31" s="27">
        <v>3</v>
      </c>
      <c r="D31" s="27">
        <v>1</v>
      </c>
      <c r="E31" s="27">
        <v>2</v>
      </c>
      <c r="F31" s="27">
        <v>2</v>
      </c>
      <c r="G31" s="27">
        <v>1</v>
      </c>
      <c r="H31" s="27">
        <v>1</v>
      </c>
      <c r="I31" s="27">
        <v>4</v>
      </c>
      <c r="J31" s="27">
        <v>0</v>
      </c>
      <c r="K31" s="27">
        <v>2</v>
      </c>
      <c r="L31" s="27">
        <v>2</v>
      </c>
      <c r="M31" s="27">
        <v>2</v>
      </c>
      <c r="N31" s="27">
        <v>4</v>
      </c>
      <c r="O31" s="27">
        <v>2</v>
      </c>
      <c r="P31" s="27">
        <v>2</v>
      </c>
      <c r="Q31" s="27">
        <v>1</v>
      </c>
      <c r="R31" s="27">
        <v>3</v>
      </c>
      <c r="S31" s="27">
        <v>0</v>
      </c>
      <c r="T31" s="27">
        <v>3</v>
      </c>
      <c r="U31" s="27">
        <v>2</v>
      </c>
      <c r="V31" s="27">
        <v>3</v>
      </c>
      <c r="W31" s="27">
        <v>2</v>
      </c>
      <c r="X31" s="27">
        <v>4</v>
      </c>
      <c r="Y31" s="27">
        <v>0</v>
      </c>
      <c r="Z31" s="27">
        <v>3</v>
      </c>
      <c r="AA31" s="27">
        <v>4</v>
      </c>
      <c r="AB31" s="27">
        <v>1</v>
      </c>
      <c r="AC31" s="27">
        <v>2</v>
      </c>
      <c r="AD31" s="27">
        <v>3</v>
      </c>
      <c r="AE31" s="27">
        <v>1</v>
      </c>
      <c r="AF31" s="27">
        <v>2</v>
      </c>
      <c r="AG31" s="27">
        <v>3</v>
      </c>
      <c r="AH31" s="27">
        <v>1</v>
      </c>
      <c r="AI31" s="27">
        <v>3</v>
      </c>
      <c r="AJ31" s="27">
        <v>1</v>
      </c>
      <c r="AK31" s="27">
        <v>3</v>
      </c>
      <c r="AL31" s="27">
        <v>1</v>
      </c>
      <c r="AM31" s="27">
        <v>2</v>
      </c>
      <c r="AN31" s="27">
        <v>0</v>
      </c>
      <c r="AO31" s="27">
        <v>1</v>
      </c>
      <c r="AP31" s="27">
        <v>3</v>
      </c>
      <c r="AQ31" s="27">
        <v>1</v>
      </c>
      <c r="AR31" s="28">
        <f t="shared" si="0"/>
        <v>81</v>
      </c>
    </row>
    <row r="32" spans="1:44" ht="21.95" customHeight="1" x14ac:dyDescent="0.25">
      <c r="A32" s="27" t="s">
        <v>144</v>
      </c>
      <c r="B32" s="27">
        <v>0</v>
      </c>
      <c r="C32" s="27">
        <v>1</v>
      </c>
      <c r="D32" s="27">
        <v>1</v>
      </c>
      <c r="E32" s="27">
        <v>0</v>
      </c>
      <c r="F32" s="27">
        <v>3</v>
      </c>
      <c r="G32" s="27">
        <v>3</v>
      </c>
      <c r="H32" s="27">
        <v>4</v>
      </c>
      <c r="I32" s="27">
        <v>4</v>
      </c>
      <c r="J32" s="27">
        <v>1</v>
      </c>
      <c r="K32" s="27">
        <v>4</v>
      </c>
      <c r="L32" s="27">
        <v>1</v>
      </c>
      <c r="M32" s="27">
        <v>1</v>
      </c>
      <c r="N32" s="27">
        <v>0</v>
      </c>
      <c r="O32" s="27">
        <v>2</v>
      </c>
      <c r="P32" s="27">
        <v>1</v>
      </c>
      <c r="Q32" s="27">
        <v>2</v>
      </c>
      <c r="R32" s="27">
        <v>1</v>
      </c>
      <c r="S32" s="27">
        <v>3</v>
      </c>
      <c r="T32" s="27">
        <v>4</v>
      </c>
      <c r="U32" s="27">
        <v>1</v>
      </c>
      <c r="V32" s="27">
        <v>2</v>
      </c>
      <c r="W32" s="27">
        <v>4</v>
      </c>
      <c r="X32" s="27">
        <v>1</v>
      </c>
      <c r="Y32" s="27">
        <v>1</v>
      </c>
      <c r="Z32" s="27">
        <v>2</v>
      </c>
      <c r="AA32" s="27">
        <v>1</v>
      </c>
      <c r="AB32" s="27">
        <v>1</v>
      </c>
      <c r="AC32" s="27">
        <v>1</v>
      </c>
      <c r="AD32" s="27">
        <v>0</v>
      </c>
      <c r="AE32" s="27">
        <v>2</v>
      </c>
      <c r="AF32" s="27">
        <v>2</v>
      </c>
      <c r="AG32" s="27">
        <v>2</v>
      </c>
      <c r="AH32" s="27">
        <v>4</v>
      </c>
      <c r="AI32" s="27">
        <v>1</v>
      </c>
      <c r="AJ32" s="27">
        <v>2</v>
      </c>
      <c r="AK32" s="27">
        <v>2</v>
      </c>
      <c r="AL32" s="27">
        <v>0</v>
      </c>
      <c r="AM32" s="27">
        <v>3</v>
      </c>
      <c r="AN32" s="27">
        <v>0</v>
      </c>
      <c r="AO32" s="27">
        <v>2</v>
      </c>
      <c r="AP32" s="27">
        <v>1</v>
      </c>
      <c r="AQ32" s="27">
        <v>0</v>
      </c>
      <c r="AR32" s="28">
        <f t="shared" si="0"/>
        <v>71</v>
      </c>
    </row>
    <row r="33" spans="1:44" ht="21.95" customHeight="1" x14ac:dyDescent="0.25">
      <c r="A33" s="27" t="s">
        <v>145</v>
      </c>
      <c r="B33" s="27">
        <v>2</v>
      </c>
      <c r="C33" s="27">
        <v>1</v>
      </c>
      <c r="D33" s="27">
        <v>2</v>
      </c>
      <c r="E33" s="27">
        <v>2</v>
      </c>
      <c r="F33" s="27">
        <v>0</v>
      </c>
      <c r="G33" s="27">
        <v>3</v>
      </c>
      <c r="H33" s="27">
        <v>0</v>
      </c>
      <c r="I33" s="27">
        <v>3</v>
      </c>
      <c r="J33" s="27">
        <v>4</v>
      </c>
      <c r="K33" s="27">
        <v>2</v>
      </c>
      <c r="L33" s="27">
        <v>2</v>
      </c>
      <c r="M33" s="27">
        <v>0</v>
      </c>
      <c r="N33" s="27">
        <v>1</v>
      </c>
      <c r="O33" s="27">
        <v>2</v>
      </c>
      <c r="P33" s="27">
        <v>4</v>
      </c>
      <c r="Q33" s="27">
        <v>2</v>
      </c>
      <c r="R33" s="27">
        <v>0</v>
      </c>
      <c r="S33" s="27">
        <v>2</v>
      </c>
      <c r="T33" s="27">
        <v>1</v>
      </c>
      <c r="U33" s="27">
        <v>3</v>
      </c>
      <c r="V33" s="27">
        <v>2</v>
      </c>
      <c r="W33" s="27">
        <v>0</v>
      </c>
      <c r="X33" s="27">
        <v>1</v>
      </c>
      <c r="Y33" s="27">
        <v>2</v>
      </c>
      <c r="Z33" s="27">
        <v>3</v>
      </c>
      <c r="AA33" s="27">
        <v>0</v>
      </c>
      <c r="AB33" s="27">
        <v>0</v>
      </c>
      <c r="AC33" s="27">
        <v>2</v>
      </c>
      <c r="AD33" s="27">
        <v>2</v>
      </c>
      <c r="AE33" s="27">
        <v>3</v>
      </c>
      <c r="AF33" s="27">
        <v>2</v>
      </c>
      <c r="AG33" s="27">
        <v>2</v>
      </c>
      <c r="AH33" s="27">
        <v>2</v>
      </c>
      <c r="AI33" s="27">
        <v>2</v>
      </c>
      <c r="AJ33" s="27">
        <v>2</v>
      </c>
      <c r="AK33" s="27">
        <v>2</v>
      </c>
      <c r="AL33" s="27">
        <v>2</v>
      </c>
      <c r="AM33" s="27">
        <v>0</v>
      </c>
      <c r="AN33" s="27">
        <v>1</v>
      </c>
      <c r="AO33" s="27">
        <v>2</v>
      </c>
      <c r="AP33" s="27">
        <v>3</v>
      </c>
      <c r="AQ33" s="27">
        <v>2</v>
      </c>
      <c r="AR33" s="28">
        <f t="shared" si="0"/>
        <v>73</v>
      </c>
    </row>
    <row r="34" spans="1:44" ht="21.95" customHeight="1" x14ac:dyDescent="0.25">
      <c r="A34" s="27" t="s">
        <v>146</v>
      </c>
      <c r="B34" s="27">
        <v>1</v>
      </c>
      <c r="C34" s="27">
        <v>0</v>
      </c>
      <c r="D34" s="27">
        <v>2</v>
      </c>
      <c r="E34" s="27">
        <v>3</v>
      </c>
      <c r="F34" s="27">
        <v>1</v>
      </c>
      <c r="G34" s="27">
        <v>0</v>
      </c>
      <c r="H34" s="27">
        <v>3</v>
      </c>
      <c r="I34" s="27">
        <v>0</v>
      </c>
      <c r="J34" s="27">
        <v>3</v>
      </c>
      <c r="K34" s="27">
        <v>2</v>
      </c>
      <c r="L34" s="27">
        <v>2</v>
      </c>
      <c r="M34" s="27">
        <v>2</v>
      </c>
      <c r="N34" s="27">
        <v>2</v>
      </c>
      <c r="O34" s="27">
        <v>3</v>
      </c>
      <c r="P34" s="27">
        <v>3</v>
      </c>
      <c r="Q34" s="27">
        <v>2</v>
      </c>
      <c r="R34" s="27">
        <v>2</v>
      </c>
      <c r="S34" s="27">
        <v>4</v>
      </c>
      <c r="T34" s="27">
        <v>4</v>
      </c>
      <c r="U34" s="27">
        <v>2</v>
      </c>
      <c r="V34" s="27">
        <v>2</v>
      </c>
      <c r="W34" s="27">
        <v>0</v>
      </c>
      <c r="X34" s="27">
        <v>2</v>
      </c>
      <c r="Y34" s="27">
        <v>1</v>
      </c>
      <c r="Z34" s="27">
        <v>4</v>
      </c>
      <c r="AA34" s="27">
        <v>1</v>
      </c>
      <c r="AB34" s="27">
        <v>1</v>
      </c>
      <c r="AC34" s="27">
        <v>3</v>
      </c>
      <c r="AD34" s="27">
        <v>1</v>
      </c>
      <c r="AE34" s="27">
        <v>2</v>
      </c>
      <c r="AF34" s="27">
        <v>2</v>
      </c>
      <c r="AG34" s="27">
        <v>4</v>
      </c>
      <c r="AH34" s="27">
        <v>1</v>
      </c>
      <c r="AI34" s="27">
        <v>0</v>
      </c>
      <c r="AJ34" s="27">
        <v>1</v>
      </c>
      <c r="AK34" s="27">
        <v>2</v>
      </c>
      <c r="AL34" s="27">
        <v>3</v>
      </c>
      <c r="AM34" s="27">
        <v>3</v>
      </c>
      <c r="AN34" s="27">
        <v>0</v>
      </c>
      <c r="AO34" s="27">
        <v>0</v>
      </c>
      <c r="AP34" s="27">
        <v>1</v>
      </c>
      <c r="AQ34" s="27">
        <v>1</v>
      </c>
      <c r="AR34" s="28">
        <f t="shared" si="0"/>
        <v>76</v>
      </c>
    </row>
    <row r="35" spans="1:44" ht="21.95" customHeight="1" x14ac:dyDescent="0.25">
      <c r="A35" s="29" t="s">
        <v>147</v>
      </c>
      <c r="B35" s="30">
        <f t="shared" ref="B35:AR35" si="1">VAR(B5:B34)</f>
        <v>1.857471264367816</v>
      </c>
      <c r="C35" s="30">
        <f t="shared" si="1"/>
        <v>2.0333333333333332</v>
      </c>
      <c r="D35" s="30">
        <f t="shared" si="1"/>
        <v>2.2999999999999998</v>
      </c>
      <c r="E35" s="30">
        <f t="shared" si="1"/>
        <v>1.8264367816091955</v>
      </c>
      <c r="F35" s="30">
        <f t="shared" si="1"/>
        <v>1.5816091954022991</v>
      </c>
      <c r="G35" s="30">
        <f t="shared" si="1"/>
        <v>1.3057471264367819</v>
      </c>
      <c r="H35" s="30">
        <f t="shared" si="1"/>
        <v>1.7068965517241379</v>
      </c>
      <c r="I35" s="30">
        <f t="shared" si="1"/>
        <v>0.97586206896551764</v>
      </c>
      <c r="J35" s="30">
        <f t="shared" si="1"/>
        <v>1.7712643678160922</v>
      </c>
      <c r="K35" s="30">
        <f t="shared" si="1"/>
        <v>1.1367816091954024</v>
      </c>
      <c r="L35" s="30">
        <f t="shared" si="1"/>
        <v>1.2919540229885058</v>
      </c>
      <c r="M35" s="30">
        <f t="shared" si="1"/>
        <v>1.9367816091954024</v>
      </c>
      <c r="N35" s="30">
        <f t="shared" si="1"/>
        <v>1.6505747126436778</v>
      </c>
      <c r="O35" s="30">
        <f t="shared" si="1"/>
        <v>1.360919540229885</v>
      </c>
      <c r="P35" s="30">
        <f t="shared" si="1"/>
        <v>1.7068965517241379</v>
      </c>
      <c r="Q35" s="30">
        <f t="shared" si="1"/>
        <v>1.2195402298850577</v>
      </c>
      <c r="R35" s="30">
        <f t="shared" si="1"/>
        <v>1.3793103448275863</v>
      </c>
      <c r="S35" s="30">
        <f t="shared" si="1"/>
        <v>1.4206896551724133</v>
      </c>
      <c r="T35" s="30">
        <f t="shared" si="1"/>
        <v>1.2137931034482754</v>
      </c>
      <c r="U35" s="30">
        <f t="shared" si="1"/>
        <v>1.0988505747126434</v>
      </c>
      <c r="V35" s="30">
        <f t="shared" si="1"/>
        <v>1.6103448275862065</v>
      </c>
      <c r="W35" s="30">
        <f t="shared" si="1"/>
        <v>1.6793103448275859</v>
      </c>
      <c r="X35" s="30">
        <f t="shared" si="1"/>
        <v>1.7988505747126438</v>
      </c>
      <c r="Y35" s="30">
        <f t="shared" si="1"/>
        <v>1.964367816091954</v>
      </c>
      <c r="Z35" s="30">
        <f t="shared" si="1"/>
        <v>1.1137931034482762</v>
      </c>
      <c r="AA35" s="30">
        <f t="shared" si="1"/>
        <v>1.3850574712643675</v>
      </c>
      <c r="AB35" s="30">
        <f t="shared" si="1"/>
        <v>1.4724137931034484</v>
      </c>
      <c r="AC35" s="30">
        <f t="shared" si="1"/>
        <v>1.6793103448275863</v>
      </c>
      <c r="AD35" s="30">
        <f t="shared" si="1"/>
        <v>1.4034482758620686</v>
      </c>
      <c r="AE35" s="30">
        <f t="shared" si="1"/>
        <v>1.6505747126436785</v>
      </c>
      <c r="AF35" s="30">
        <f t="shared" si="1"/>
        <v>1.5965517241379314</v>
      </c>
      <c r="AG35" s="30">
        <f t="shared" si="1"/>
        <v>1.4712643678160917</v>
      </c>
      <c r="AH35" s="30">
        <f t="shared" si="1"/>
        <v>1.7344827586206895</v>
      </c>
      <c r="AI35" s="30">
        <f t="shared" si="1"/>
        <v>1.5678160919540232</v>
      </c>
      <c r="AJ35" s="30">
        <f t="shared" si="1"/>
        <v>1.8172413793103444</v>
      </c>
      <c r="AK35" s="30">
        <f t="shared" si="1"/>
        <v>1.0862068965517242</v>
      </c>
      <c r="AL35" s="30">
        <f t="shared" si="1"/>
        <v>1.4436781609195406</v>
      </c>
      <c r="AM35" s="30">
        <f t="shared" si="1"/>
        <v>1.3379310344827586</v>
      </c>
      <c r="AN35" s="30">
        <f t="shared" si="1"/>
        <v>1.7747126436781611</v>
      </c>
      <c r="AO35" s="30">
        <f t="shared" si="1"/>
        <v>1.6793103448275859</v>
      </c>
      <c r="AP35" s="30">
        <f t="shared" si="1"/>
        <v>1.4712643678160917</v>
      </c>
      <c r="AQ35" s="30">
        <f t="shared" si="1"/>
        <v>1.7574712643678161</v>
      </c>
      <c r="AR35" s="31">
        <f t="shared" si="1"/>
        <v>430.25402298850582</v>
      </c>
    </row>
    <row r="37" spans="1:44" ht="21.95" customHeight="1" x14ac:dyDescent="0.25">
      <c r="A37" s="25" t="s">
        <v>148</v>
      </c>
      <c r="B37" s="32">
        <v>42</v>
      </c>
    </row>
    <row r="38" spans="1:44" ht="21.95" customHeight="1" x14ac:dyDescent="0.25">
      <c r="A38" s="25" t="s">
        <v>149</v>
      </c>
      <c r="B38" s="33">
        <f>SUM(B35:AQ35)</f>
        <v>65.270114942528721</v>
      </c>
    </row>
    <row r="39" spans="1:44" ht="21.95" customHeight="1" x14ac:dyDescent="0.25">
      <c r="A39" s="25" t="s">
        <v>150</v>
      </c>
      <c r="B39" s="33">
        <f>AR35</f>
        <v>430.25402298850582</v>
      </c>
    </row>
    <row r="40" spans="1:44" ht="21.95" customHeight="1" x14ac:dyDescent="0.25">
      <c r="A40" s="23" t="s">
        <v>151</v>
      </c>
      <c r="B40" s="34">
        <f>(B37/(B37-1))*(1-B38/B39)</f>
        <v>0.86898886380354001</v>
      </c>
    </row>
    <row r="41" spans="1:44" ht="21.95" customHeight="1" x14ac:dyDescent="0.25">
      <c r="A41" s="23" t="s">
        <v>7</v>
      </c>
      <c r="B41" s="35" t="str">
        <f>IF(B40&gt;=0.9,"Excelente",IF(B40&gt;=0.8,"Bueno",IF(B40&gt;=0.7,"Aceptable",IF(B40&gt;=0.6,"Cuestionable","Inaceptable"))))</f>
        <v>Bueno</v>
      </c>
    </row>
    <row r="43" spans="1:44" ht="21.95" customHeight="1" x14ac:dyDescent="0.25">
      <c r="A43" s="36" t="s">
        <v>152</v>
      </c>
    </row>
  </sheetData>
  <autoFilter ref="A4:AR34" xr:uid="{00000000-0009-0000-0000-000004000000}"/>
  <mergeCells count="1">
    <mergeCell ref="A1:A3"/>
  </mergeCells>
  <pageMargins left="0.75" right="0.75" top="1" bottom="1" header="0.511811023622047" footer="0.511811023622047"/>
  <pageSetup paperSize="9"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19"/>
  <sheetViews>
    <sheetView zoomScale="90" zoomScaleNormal="100" workbookViewId="0">
      <selection activeCell="A19" sqref="A19:D19"/>
    </sheetView>
  </sheetViews>
  <sheetFormatPr baseColWidth="10" defaultColWidth="8.7109375" defaultRowHeight="15" x14ac:dyDescent="0.25"/>
  <cols>
    <col min="1" max="2" width="16" customWidth="1"/>
    <col min="3" max="3" width="42" customWidth="1"/>
    <col min="4" max="4" width="48" customWidth="1"/>
  </cols>
  <sheetData>
    <row r="1" spans="1:4" ht="21.95" customHeight="1" x14ac:dyDescent="0.25">
      <c r="A1" s="48" t="s">
        <v>153</v>
      </c>
      <c r="B1" s="49"/>
      <c r="C1" s="49"/>
      <c r="D1" s="50"/>
    </row>
    <row r="3" spans="1:4" ht="21.95" customHeight="1" x14ac:dyDescent="0.25">
      <c r="A3" s="37" t="s">
        <v>154</v>
      </c>
      <c r="B3" s="37" t="s">
        <v>155</v>
      </c>
      <c r="C3" s="38" t="s">
        <v>156</v>
      </c>
      <c r="D3" s="37" t="s">
        <v>157</v>
      </c>
    </row>
    <row r="4" spans="1:4" ht="21.95" customHeight="1" x14ac:dyDescent="0.25">
      <c r="A4" s="39" t="s">
        <v>158</v>
      </c>
      <c r="B4" s="39">
        <v>1</v>
      </c>
      <c r="C4" s="24" t="s">
        <v>159</v>
      </c>
      <c r="D4" s="24" t="s">
        <v>160</v>
      </c>
    </row>
    <row r="5" spans="1:4" ht="21.95" customHeight="1" x14ac:dyDescent="0.25">
      <c r="A5" s="39" t="s">
        <v>158</v>
      </c>
      <c r="B5" s="39">
        <v>2</v>
      </c>
      <c r="C5" s="24" t="s">
        <v>161</v>
      </c>
      <c r="D5" s="24" t="s">
        <v>162</v>
      </c>
    </row>
    <row r="6" spans="1:4" ht="21.95" customHeight="1" x14ac:dyDescent="0.25">
      <c r="A6" s="39" t="s">
        <v>158</v>
      </c>
      <c r="B6" s="39">
        <v>3</v>
      </c>
      <c r="C6" s="24" t="s">
        <v>163</v>
      </c>
      <c r="D6" s="24" t="s">
        <v>164</v>
      </c>
    </row>
    <row r="7" spans="1:4" ht="21.95" customHeight="1" x14ac:dyDescent="0.25">
      <c r="A7" s="39" t="s">
        <v>158</v>
      </c>
      <c r="B7" s="39">
        <v>4</v>
      </c>
      <c r="C7" s="24" t="s">
        <v>165</v>
      </c>
      <c r="D7" s="24" t="s">
        <v>166</v>
      </c>
    </row>
    <row r="8" spans="1:4" ht="21.95" customHeight="1" x14ac:dyDescent="0.25">
      <c r="A8" s="39" t="s">
        <v>167</v>
      </c>
      <c r="B8" s="39">
        <v>5</v>
      </c>
      <c r="C8" s="24" t="s">
        <v>168</v>
      </c>
      <c r="D8" s="24" t="s">
        <v>169</v>
      </c>
    </row>
    <row r="9" spans="1:4" ht="21.95" customHeight="1" x14ac:dyDescent="0.25">
      <c r="A9" s="39" t="s">
        <v>167</v>
      </c>
      <c r="B9" s="39">
        <v>6</v>
      </c>
      <c r="C9" s="24" t="s">
        <v>170</v>
      </c>
      <c r="D9" s="24" t="s">
        <v>171</v>
      </c>
    </row>
    <row r="10" spans="1:4" ht="21.95" customHeight="1" x14ac:dyDescent="0.25">
      <c r="A10" s="39" t="s">
        <v>167</v>
      </c>
      <c r="B10" s="39">
        <v>7</v>
      </c>
      <c r="C10" s="24" t="s">
        <v>172</v>
      </c>
      <c r="D10" s="24" t="s">
        <v>173</v>
      </c>
    </row>
    <row r="11" spans="1:4" ht="21.95" customHeight="1" x14ac:dyDescent="0.25">
      <c r="A11" s="39" t="s">
        <v>174</v>
      </c>
      <c r="B11" s="39">
        <v>8</v>
      </c>
      <c r="C11" s="24" t="s">
        <v>175</v>
      </c>
      <c r="D11" s="24" t="s">
        <v>176</v>
      </c>
    </row>
    <row r="12" spans="1:4" ht="21.95" customHeight="1" x14ac:dyDescent="0.25">
      <c r="A12" s="39" t="s">
        <v>174</v>
      </c>
      <c r="B12" s="39">
        <v>9</v>
      </c>
      <c r="C12" s="24" t="s">
        <v>177</v>
      </c>
      <c r="D12" s="24" t="s">
        <v>178</v>
      </c>
    </row>
    <row r="13" spans="1:4" ht="21.95" customHeight="1" x14ac:dyDescent="0.25">
      <c r="A13" s="39" t="s">
        <v>174</v>
      </c>
      <c r="B13" s="39">
        <v>10</v>
      </c>
      <c r="C13" s="24" t="s">
        <v>179</v>
      </c>
      <c r="D13" s="24" t="s">
        <v>180</v>
      </c>
    </row>
    <row r="14" spans="1:4" ht="21.95" customHeight="1" x14ac:dyDescent="0.25">
      <c r="A14" s="39" t="s">
        <v>174</v>
      </c>
      <c r="B14" s="39">
        <v>11</v>
      </c>
      <c r="C14" s="24" t="s">
        <v>181</v>
      </c>
      <c r="D14" s="24" t="s">
        <v>182</v>
      </c>
    </row>
    <row r="15" spans="1:4" ht="21.95" customHeight="1" x14ac:dyDescent="0.25">
      <c r="A15" s="39" t="s">
        <v>183</v>
      </c>
      <c r="B15" s="39">
        <v>12</v>
      </c>
      <c r="C15" s="24" t="s">
        <v>184</v>
      </c>
      <c r="D15" s="24" t="s">
        <v>185</v>
      </c>
    </row>
    <row r="16" spans="1:4" ht="26.25" customHeight="1" x14ac:dyDescent="0.25">
      <c r="A16" s="39" t="s">
        <v>183</v>
      </c>
      <c r="B16" s="39">
        <v>13</v>
      </c>
      <c r="C16" s="24" t="s">
        <v>186</v>
      </c>
      <c r="D16" s="24" t="s">
        <v>187</v>
      </c>
    </row>
    <row r="17" spans="1:4" ht="21.95" customHeight="1" x14ac:dyDescent="0.25">
      <c r="A17" s="39" t="s">
        <v>183</v>
      </c>
      <c r="B17" s="39">
        <v>14</v>
      </c>
      <c r="C17" s="24" t="s">
        <v>188</v>
      </c>
      <c r="D17" s="24" t="s">
        <v>189</v>
      </c>
    </row>
    <row r="19" spans="1:4" ht="60" customHeight="1" x14ac:dyDescent="0.25">
      <c r="A19" s="55" t="s">
        <v>190</v>
      </c>
      <c r="B19" s="49"/>
      <c r="C19" s="49"/>
      <c r="D19" s="50"/>
    </row>
  </sheetData>
  <mergeCells count="2">
    <mergeCell ref="A1:D1"/>
    <mergeCell ref="A19:D19"/>
  </mergeCells>
  <pageMargins left="0.75" right="0.75" top="1" bottom="1" header="0.511811023622047" footer="0.511811023622047"/>
  <pageSetup paperSize="9"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29"/>
  <sheetViews>
    <sheetView zoomScale="90" zoomScaleNormal="100" workbookViewId="0">
      <pane ySplit="4" topLeftCell="A17" activePane="bottomLeft" state="frozen"/>
      <selection pane="bottomLeft" activeCell="A19" sqref="A19:F19"/>
    </sheetView>
  </sheetViews>
  <sheetFormatPr baseColWidth="10" defaultColWidth="8.7109375" defaultRowHeight="15" x14ac:dyDescent="0.25"/>
  <cols>
    <col min="1" max="1" width="13.5703125" customWidth="1"/>
    <col min="2" max="2" width="31.140625" bestFit="1" customWidth="1"/>
    <col min="3" max="3" width="42" customWidth="1"/>
    <col min="4" max="4" width="16" customWidth="1"/>
    <col min="5" max="5" width="18" customWidth="1"/>
    <col min="6" max="6" width="20" customWidth="1"/>
  </cols>
  <sheetData>
    <row r="1" spans="1:6" ht="21.95" customHeight="1" x14ac:dyDescent="0.25">
      <c r="A1" s="48" t="s">
        <v>191</v>
      </c>
      <c r="B1" s="49"/>
      <c r="C1" s="49"/>
      <c r="D1" s="49"/>
      <c r="E1" s="49"/>
      <c r="F1" s="50"/>
    </row>
    <row r="2" spans="1:6" ht="30" customHeight="1" x14ac:dyDescent="0.25">
      <c r="A2" s="17" t="s">
        <v>192</v>
      </c>
    </row>
    <row r="3" spans="1:6" ht="21.95" customHeight="1" x14ac:dyDescent="0.25">
      <c r="A3" s="60" t="s">
        <v>193</v>
      </c>
      <c r="B3" s="49"/>
      <c r="C3" s="49"/>
      <c r="D3" s="49"/>
      <c r="E3" s="49"/>
      <c r="F3" s="50"/>
    </row>
    <row r="4" spans="1:6" ht="30" customHeight="1" x14ac:dyDescent="0.25">
      <c r="A4" s="40" t="s">
        <v>154</v>
      </c>
      <c r="B4" s="40" t="s">
        <v>155</v>
      </c>
      <c r="C4" s="40" t="s">
        <v>156</v>
      </c>
      <c r="D4" s="40" t="s">
        <v>194</v>
      </c>
      <c r="E4" s="40" t="s">
        <v>195</v>
      </c>
      <c r="F4" s="40" t="s">
        <v>196</v>
      </c>
    </row>
    <row r="5" spans="1:6" ht="26.85" customHeight="1" x14ac:dyDescent="0.25">
      <c r="A5" s="32" t="s">
        <v>158</v>
      </c>
      <c r="B5" s="32">
        <v>1</v>
      </c>
      <c r="C5" s="41" t="s">
        <v>159</v>
      </c>
      <c r="D5" s="32">
        <v>4</v>
      </c>
      <c r="E5" s="33">
        <f>AVERAGE('Cálculo pretest'!B5:E34)/4*100</f>
        <v>48.541666666666664</v>
      </c>
      <c r="F5" s="32" t="str">
        <f t="shared" ref="F5:F18" si="0">IF(E5&gt;=76,"Optimizado",IF(E5&gt;=51,"Gestionado",IF(E5&gt;=26,"Básico","Inicial")))</f>
        <v>Básico</v>
      </c>
    </row>
    <row r="6" spans="1:6" ht="39.6" customHeight="1" x14ac:dyDescent="0.25">
      <c r="A6" s="32" t="s">
        <v>158</v>
      </c>
      <c r="B6" s="32">
        <v>2</v>
      </c>
      <c r="C6" s="41" t="s">
        <v>161</v>
      </c>
      <c r="D6" s="32">
        <v>3</v>
      </c>
      <c r="E6" s="33">
        <f>AVERAGE('Cálculo pretest'!F5:H34)/4*100</f>
        <v>56.944444444444443</v>
      </c>
      <c r="F6" s="32" t="str">
        <f t="shared" si="0"/>
        <v>Gestionado</v>
      </c>
    </row>
    <row r="7" spans="1:6" ht="26.85" customHeight="1" x14ac:dyDescent="0.25">
      <c r="A7" s="32" t="s">
        <v>158</v>
      </c>
      <c r="B7" s="32">
        <v>3</v>
      </c>
      <c r="C7" s="41" t="s">
        <v>163</v>
      </c>
      <c r="D7" s="32">
        <v>3</v>
      </c>
      <c r="E7" s="33">
        <f>AVERAGE('Cálculo pretest'!I5:K34)/4*100</f>
        <v>58.055555555555557</v>
      </c>
      <c r="F7" s="32" t="str">
        <f t="shared" si="0"/>
        <v>Gestionado</v>
      </c>
    </row>
    <row r="8" spans="1:6" ht="26.85" customHeight="1" x14ac:dyDescent="0.25">
      <c r="A8" s="32" t="s">
        <v>158</v>
      </c>
      <c r="B8" s="32">
        <v>4</v>
      </c>
      <c r="C8" s="41" t="s">
        <v>165</v>
      </c>
      <c r="D8" s="32">
        <v>3</v>
      </c>
      <c r="E8" s="33">
        <f>AVERAGE('Cálculo pretest'!L5:N34)/4*100</f>
        <v>49.166666666666664</v>
      </c>
      <c r="F8" s="32" t="str">
        <f t="shared" si="0"/>
        <v>Básico</v>
      </c>
    </row>
    <row r="9" spans="1:6" ht="26.85" customHeight="1" x14ac:dyDescent="0.25">
      <c r="A9" s="32" t="s">
        <v>167</v>
      </c>
      <c r="B9" s="32">
        <v>5</v>
      </c>
      <c r="C9" s="41" t="s">
        <v>168</v>
      </c>
      <c r="D9" s="32">
        <v>3</v>
      </c>
      <c r="E9" s="33">
        <f>AVERAGE('Cálculo pretest'!O5:Q34)/4*100</f>
        <v>57.222222222222221</v>
      </c>
      <c r="F9" s="32" t="str">
        <f t="shared" si="0"/>
        <v>Gestionado</v>
      </c>
    </row>
    <row r="10" spans="1:6" ht="39.6" customHeight="1" x14ac:dyDescent="0.25">
      <c r="A10" s="32" t="s">
        <v>167</v>
      </c>
      <c r="B10" s="32">
        <v>6</v>
      </c>
      <c r="C10" s="41" t="s">
        <v>170</v>
      </c>
      <c r="D10" s="32">
        <v>3</v>
      </c>
      <c r="E10" s="33">
        <f>AVERAGE('Cálculo pretest'!R5:T34)/4*100</f>
        <v>58.333333333333336</v>
      </c>
      <c r="F10" s="32" t="str">
        <f t="shared" si="0"/>
        <v>Gestionado</v>
      </c>
    </row>
    <row r="11" spans="1:6" ht="26.85" customHeight="1" x14ac:dyDescent="0.25">
      <c r="A11" s="32" t="s">
        <v>167</v>
      </c>
      <c r="B11" s="32">
        <v>7</v>
      </c>
      <c r="C11" s="41" t="s">
        <v>172</v>
      </c>
      <c r="D11" s="32">
        <v>2</v>
      </c>
      <c r="E11" s="33">
        <f>AVERAGE('Cálculo pretest'!U5:V34)/4*100</f>
        <v>47.916666666666671</v>
      </c>
      <c r="F11" s="32" t="str">
        <f t="shared" si="0"/>
        <v>Básico</v>
      </c>
    </row>
    <row r="12" spans="1:6" ht="26.85" customHeight="1" x14ac:dyDescent="0.25">
      <c r="A12" s="32" t="s">
        <v>174</v>
      </c>
      <c r="B12" s="32">
        <v>8</v>
      </c>
      <c r="C12" s="41" t="s">
        <v>175</v>
      </c>
      <c r="D12" s="32">
        <v>3</v>
      </c>
      <c r="E12" s="33">
        <f>AVERAGE('Cálculo pretest'!W5:Y34)/4*100</f>
        <v>49.722222222222221</v>
      </c>
      <c r="F12" s="32" t="str">
        <f t="shared" si="0"/>
        <v>Básico</v>
      </c>
    </row>
    <row r="13" spans="1:6" ht="26.85" customHeight="1" x14ac:dyDescent="0.25">
      <c r="A13" s="32" t="s">
        <v>174</v>
      </c>
      <c r="B13" s="32">
        <v>9</v>
      </c>
      <c r="C13" s="41" t="s">
        <v>177</v>
      </c>
      <c r="D13" s="32">
        <v>3</v>
      </c>
      <c r="E13" s="33">
        <f>AVERAGE('Cálculo pretest'!Z5:AB34)/4*100</f>
        <v>53.055555555555557</v>
      </c>
      <c r="F13" s="32" t="str">
        <f t="shared" si="0"/>
        <v>Gestionado</v>
      </c>
    </row>
    <row r="14" spans="1:6" ht="26.85" customHeight="1" x14ac:dyDescent="0.25">
      <c r="A14" s="32" t="s">
        <v>174</v>
      </c>
      <c r="B14" s="32">
        <v>10</v>
      </c>
      <c r="C14" s="41" t="s">
        <v>179</v>
      </c>
      <c r="D14" s="32">
        <v>3</v>
      </c>
      <c r="E14" s="33">
        <f>AVERAGE('Cálculo pretest'!AC5:AE34)/4*100</f>
        <v>50.555555555555557</v>
      </c>
      <c r="F14" s="32" t="str">
        <f t="shared" si="0"/>
        <v>Básico</v>
      </c>
    </row>
    <row r="15" spans="1:6" ht="39.6" customHeight="1" x14ac:dyDescent="0.25">
      <c r="A15" s="32" t="s">
        <v>174</v>
      </c>
      <c r="B15" s="32">
        <v>11</v>
      </c>
      <c r="C15" s="41" t="s">
        <v>181</v>
      </c>
      <c r="D15" s="32">
        <v>3</v>
      </c>
      <c r="E15" s="33">
        <f>AVERAGE('Cálculo pretest'!AF5:AH34)/4*100</f>
        <v>52.777777777777779</v>
      </c>
      <c r="F15" s="32" t="str">
        <f t="shared" si="0"/>
        <v>Gestionado</v>
      </c>
    </row>
    <row r="16" spans="1:6" ht="21.95" customHeight="1" x14ac:dyDescent="0.25">
      <c r="A16" s="32" t="s">
        <v>183</v>
      </c>
      <c r="B16" s="32">
        <v>12</v>
      </c>
      <c r="C16" s="41" t="s">
        <v>184</v>
      </c>
      <c r="D16" s="32">
        <v>3</v>
      </c>
      <c r="E16" s="33">
        <f>AVERAGE('Cálculo pretest'!AI5:AK34)/4*100</f>
        <v>53.888888888888886</v>
      </c>
      <c r="F16" s="32" t="str">
        <f t="shared" si="0"/>
        <v>Gestionado</v>
      </c>
    </row>
    <row r="17" spans="1:6" ht="26.85" customHeight="1" x14ac:dyDescent="0.25">
      <c r="A17" s="32" t="s">
        <v>183</v>
      </c>
      <c r="B17" s="32">
        <v>13</v>
      </c>
      <c r="C17" s="41" t="s">
        <v>186</v>
      </c>
      <c r="D17" s="32">
        <v>3</v>
      </c>
      <c r="E17" s="33">
        <f>AVERAGE('Cálculo pretest'!AL5:AN34)/4*100</f>
        <v>47.777777777777779</v>
      </c>
      <c r="F17" s="32" t="str">
        <f t="shared" si="0"/>
        <v>Básico</v>
      </c>
    </row>
    <row r="18" spans="1:6" ht="26.85" customHeight="1" x14ac:dyDescent="0.25">
      <c r="A18" s="32" t="s">
        <v>183</v>
      </c>
      <c r="B18" s="32">
        <v>14</v>
      </c>
      <c r="C18" s="41" t="s">
        <v>188</v>
      </c>
      <c r="D18" s="32">
        <v>3</v>
      </c>
      <c r="E18" s="33">
        <f>AVERAGE('Cálculo pretest'!AO5:AQ34)/4*100</f>
        <v>53.888888888888886</v>
      </c>
      <c r="F18" s="32" t="str">
        <f t="shared" si="0"/>
        <v>Gestionado</v>
      </c>
    </row>
    <row r="19" spans="1:6" ht="42" customHeight="1" x14ac:dyDescent="0.25">
      <c r="A19" s="57" t="s">
        <v>197</v>
      </c>
      <c r="B19" s="49"/>
      <c r="C19" s="49"/>
      <c r="D19" s="49"/>
      <c r="E19" s="49"/>
      <c r="F19" s="50"/>
    </row>
    <row r="20" spans="1:6" ht="75" customHeight="1" x14ac:dyDescent="0.25">
      <c r="A20" s="17" t="s">
        <v>198</v>
      </c>
      <c r="B20" s="4"/>
      <c r="C20" s="4"/>
      <c r="D20" s="4"/>
      <c r="E20" s="17">
        <f>AVERAGE(E5:E18)</f>
        <v>52.703373015873026</v>
      </c>
      <c r="F20" s="17" t="s">
        <v>199</v>
      </c>
    </row>
    <row r="21" spans="1:6" ht="21.95" customHeight="1" x14ac:dyDescent="0.25">
      <c r="A21" s="60" t="s">
        <v>200</v>
      </c>
      <c r="B21" s="49"/>
      <c r="C21" s="49"/>
      <c r="D21" s="49"/>
      <c r="E21" s="49"/>
      <c r="F21" s="50"/>
    </row>
    <row r="22" spans="1:6" ht="21.95" customHeight="1" x14ac:dyDescent="0.25">
      <c r="A22" s="40" t="s">
        <v>154</v>
      </c>
      <c r="B22" s="40" t="s">
        <v>201</v>
      </c>
      <c r="C22" s="59" t="s">
        <v>202</v>
      </c>
      <c r="D22" s="50"/>
      <c r="E22" s="40" t="s">
        <v>195</v>
      </c>
      <c r="F22" s="40" t="s">
        <v>196</v>
      </c>
    </row>
    <row r="23" spans="1:6" ht="21.95" customHeight="1" x14ac:dyDescent="0.25">
      <c r="A23" s="39" t="s">
        <v>158</v>
      </c>
      <c r="B23" s="42" t="s">
        <v>203</v>
      </c>
      <c r="C23" s="56" t="s">
        <v>204</v>
      </c>
      <c r="D23" s="50"/>
      <c r="E23" s="43">
        <f>AVERAGE(E5:E8)</f>
        <v>53.177083333333336</v>
      </c>
      <c r="F23" s="39" t="str">
        <f>IF(E23&gt;=76,"Optimizado",IF(E23&gt;=51,"Gestionado",IF(E23&gt;=26,"Básico","Inicial")))</f>
        <v>Gestionado</v>
      </c>
    </row>
    <row r="24" spans="1:6" ht="21.95" customHeight="1" x14ac:dyDescent="0.25">
      <c r="A24" s="39" t="s">
        <v>167</v>
      </c>
      <c r="B24" s="42" t="s">
        <v>205</v>
      </c>
      <c r="C24" s="56" t="s">
        <v>206</v>
      </c>
      <c r="D24" s="50"/>
      <c r="E24" s="43">
        <f>AVERAGE(E9:E11)</f>
        <v>54.49074074074074</v>
      </c>
      <c r="F24" s="39" t="str">
        <f>IF(E24&gt;=76,"Optimizado",IF(E24&gt;=51,"Gestionado",IF(E24&gt;=26,"Básico","Inicial")))</f>
        <v>Gestionado</v>
      </c>
    </row>
    <row r="25" spans="1:6" ht="26.85" customHeight="1" x14ac:dyDescent="0.25">
      <c r="A25" s="39" t="s">
        <v>174</v>
      </c>
      <c r="B25" s="42" t="s">
        <v>207</v>
      </c>
      <c r="C25" s="56" t="s">
        <v>208</v>
      </c>
      <c r="D25" s="50"/>
      <c r="E25" s="43">
        <f>AVERAGE(E12:E15)</f>
        <v>51.527777777777771</v>
      </c>
      <c r="F25" s="39" t="str">
        <f>IF(E25&gt;=76,"Optimizado",IF(E25&gt;=51,"Gestionado",IF(E25&gt;=26,"Básico","Inicial")))</f>
        <v>Gestionado</v>
      </c>
    </row>
    <row r="26" spans="1:6" ht="26.85" customHeight="1" x14ac:dyDescent="0.25">
      <c r="A26" s="39" t="s">
        <v>183</v>
      </c>
      <c r="B26" s="42" t="s">
        <v>209</v>
      </c>
      <c r="C26" s="56" t="s">
        <v>210</v>
      </c>
      <c r="D26" s="50"/>
      <c r="E26" s="43">
        <f>AVERAGE(E16:E18)</f>
        <v>51.851851851851848</v>
      </c>
      <c r="F26" s="39" t="str">
        <f>IF(E26&gt;=76,"Optimizado",IF(E26&gt;=51,"Gestionado",IF(E26&gt;=26,"Básico","Inicial")))</f>
        <v>Gestionado</v>
      </c>
    </row>
    <row r="27" spans="1:6" ht="21.95" customHeight="1" x14ac:dyDescent="0.25">
      <c r="A27" s="57" t="s">
        <v>211</v>
      </c>
      <c r="B27" s="49"/>
      <c r="C27" s="49"/>
      <c r="D27" s="49"/>
      <c r="E27" s="49"/>
      <c r="F27" s="50"/>
    </row>
    <row r="29" spans="1:6" ht="21.95" customHeight="1" x14ac:dyDescent="0.25">
      <c r="A29" s="58" t="s">
        <v>212</v>
      </c>
      <c r="B29" s="49"/>
      <c r="C29" s="49"/>
      <c r="D29" s="50"/>
      <c r="E29" s="44">
        <f>AVERAGE(E5:E18)</f>
        <v>52.703373015873026</v>
      </c>
      <c r="F29" s="45" t="str">
        <f>IF(E29&gt;=76,"Optimizado",IF(E29&gt;=51,"Gestionado",IF(E29&gt;=26,"Básico","Inicial")))</f>
        <v>Gestionado</v>
      </c>
    </row>
  </sheetData>
  <mergeCells count="11">
    <mergeCell ref="A29:D29"/>
    <mergeCell ref="C22:D22"/>
    <mergeCell ref="A3:F3"/>
    <mergeCell ref="A21:F21"/>
    <mergeCell ref="C26:D26"/>
    <mergeCell ref="C23:D23"/>
    <mergeCell ref="C24:D24"/>
    <mergeCell ref="A19:F19"/>
    <mergeCell ref="C25:D25"/>
    <mergeCell ref="A1:F1"/>
    <mergeCell ref="A27:F27"/>
  </mergeCells>
  <pageMargins left="0.75" right="0.75" top="1" bottom="1" header="0.511811023622047" footer="0.511811023622047"/>
  <pageSetup paperSize="9"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R43"/>
  <sheetViews>
    <sheetView zoomScale="90" workbookViewId="0">
      <pane xSplit="1" ySplit="4" topLeftCell="B29" activePane="bottomRight" state="frozen"/>
      <selection pane="topRight"/>
      <selection pane="bottomLeft"/>
      <selection pane="bottomRight" activeCell="A43" sqref="A43:AR43"/>
    </sheetView>
  </sheetViews>
  <sheetFormatPr baseColWidth="10" defaultColWidth="8.7109375" defaultRowHeight="15" x14ac:dyDescent="0.25"/>
  <cols>
    <col min="1" max="1" width="46.140625" bestFit="1" customWidth="1"/>
    <col min="2" max="2" width="13.85546875" bestFit="1" customWidth="1"/>
    <col min="3" max="3" width="16" customWidth="1"/>
    <col min="4" max="43" width="13" customWidth="1"/>
    <col min="44" max="44" width="16" bestFit="1" customWidth="1"/>
  </cols>
  <sheetData>
    <row r="1" spans="1:44" ht="21.95" customHeight="1" x14ac:dyDescent="0.25">
      <c r="A1" s="52" t="s">
        <v>213</v>
      </c>
    </row>
    <row r="2" spans="1:44" ht="15" customHeight="1" x14ac:dyDescent="0.25">
      <c r="A2" s="54"/>
    </row>
    <row r="3" spans="1:44" ht="21.95" customHeight="1" x14ac:dyDescent="0.25">
      <c r="A3" s="26" t="s">
        <v>74</v>
      </c>
      <c r="B3" s="26" t="s">
        <v>75</v>
      </c>
      <c r="C3" s="26" t="s">
        <v>76</v>
      </c>
      <c r="D3" s="26" t="s">
        <v>77</v>
      </c>
      <c r="E3" s="26" t="s">
        <v>78</v>
      </c>
      <c r="F3" s="26" t="s">
        <v>79</v>
      </c>
      <c r="G3" s="26" t="s">
        <v>80</v>
      </c>
      <c r="H3" s="26" t="s">
        <v>81</v>
      </c>
      <c r="I3" s="26" t="s">
        <v>82</v>
      </c>
      <c r="J3" s="26" t="s">
        <v>83</v>
      </c>
      <c r="K3" s="26" t="s">
        <v>84</v>
      </c>
      <c r="L3" s="26" t="s">
        <v>85</v>
      </c>
      <c r="M3" s="26" t="s">
        <v>86</v>
      </c>
      <c r="N3" s="26" t="s">
        <v>87</v>
      </c>
      <c r="O3" s="26" t="s">
        <v>88</v>
      </c>
      <c r="P3" s="26" t="s">
        <v>89</v>
      </c>
      <c r="Q3" s="26" t="s">
        <v>90</v>
      </c>
      <c r="R3" s="26" t="s">
        <v>91</v>
      </c>
      <c r="S3" s="26" t="s">
        <v>92</v>
      </c>
      <c r="T3" s="26" t="s">
        <v>93</v>
      </c>
      <c r="U3" s="26" t="s">
        <v>94</v>
      </c>
      <c r="V3" s="26" t="s">
        <v>95</v>
      </c>
      <c r="W3" s="26" t="s">
        <v>96</v>
      </c>
      <c r="X3" s="26" t="s">
        <v>97</v>
      </c>
      <c r="Y3" s="26" t="s">
        <v>98</v>
      </c>
      <c r="Z3" s="26" t="s">
        <v>99</v>
      </c>
      <c r="AA3" s="26" t="s">
        <v>100</v>
      </c>
      <c r="AB3" s="26" t="s">
        <v>101</v>
      </c>
      <c r="AC3" s="26" t="s">
        <v>102</v>
      </c>
      <c r="AD3" s="26" t="s">
        <v>103</v>
      </c>
      <c r="AE3" s="26" t="s">
        <v>104</v>
      </c>
      <c r="AF3" s="26" t="s">
        <v>105</v>
      </c>
      <c r="AG3" s="26" t="s">
        <v>106</v>
      </c>
      <c r="AH3" s="26" t="s">
        <v>107</v>
      </c>
      <c r="AI3" s="26" t="s">
        <v>108</v>
      </c>
      <c r="AJ3" s="26" t="s">
        <v>109</v>
      </c>
      <c r="AK3" s="26" t="s">
        <v>110</v>
      </c>
      <c r="AL3" s="26" t="s">
        <v>111</v>
      </c>
      <c r="AM3" s="26" t="s">
        <v>112</v>
      </c>
      <c r="AN3" s="26" t="s">
        <v>113</v>
      </c>
      <c r="AO3" s="26" t="s">
        <v>114</v>
      </c>
      <c r="AP3" s="26" t="s">
        <v>115</v>
      </c>
      <c r="AQ3" s="26" t="s">
        <v>116</v>
      </c>
      <c r="AR3" s="26" t="s">
        <v>45</v>
      </c>
    </row>
    <row r="4" spans="1:44" ht="21.95" customHeight="1" x14ac:dyDescent="0.25">
      <c r="A4" s="27" t="s">
        <v>214</v>
      </c>
      <c r="B4" s="27">
        <v>3</v>
      </c>
      <c r="C4" s="27">
        <v>3</v>
      </c>
      <c r="D4" s="27">
        <v>3</v>
      </c>
      <c r="E4" s="27">
        <v>3</v>
      </c>
      <c r="F4" s="27">
        <v>3</v>
      </c>
      <c r="G4" s="27">
        <v>3</v>
      </c>
      <c r="H4" s="27">
        <v>3</v>
      </c>
      <c r="I4" s="27">
        <v>3</v>
      </c>
      <c r="J4" s="27">
        <v>3</v>
      </c>
      <c r="K4" s="27">
        <v>3</v>
      </c>
      <c r="L4" s="27">
        <v>3</v>
      </c>
      <c r="M4" s="27">
        <v>3</v>
      </c>
      <c r="N4" s="27">
        <v>3</v>
      </c>
      <c r="O4" s="27">
        <v>3</v>
      </c>
      <c r="P4" s="27">
        <v>3</v>
      </c>
      <c r="Q4" s="27">
        <v>3</v>
      </c>
      <c r="R4" s="27">
        <v>3</v>
      </c>
      <c r="S4" s="27">
        <v>3</v>
      </c>
      <c r="T4" s="27">
        <v>3</v>
      </c>
      <c r="U4" s="27">
        <v>3</v>
      </c>
      <c r="V4" s="27">
        <v>3</v>
      </c>
      <c r="W4" s="27">
        <v>3</v>
      </c>
      <c r="X4" s="27">
        <v>3</v>
      </c>
      <c r="Y4" s="27">
        <v>3</v>
      </c>
      <c r="Z4" s="27">
        <v>3</v>
      </c>
      <c r="AA4" s="27">
        <v>3</v>
      </c>
      <c r="AB4" s="27">
        <v>3</v>
      </c>
      <c r="AC4" s="27">
        <v>3</v>
      </c>
      <c r="AD4" s="27">
        <v>3</v>
      </c>
      <c r="AE4" s="27">
        <v>3</v>
      </c>
      <c r="AF4" s="27">
        <v>3</v>
      </c>
      <c r="AG4" s="27">
        <v>3</v>
      </c>
      <c r="AH4" s="27">
        <v>3</v>
      </c>
      <c r="AI4" s="27">
        <v>3</v>
      </c>
      <c r="AJ4" s="27">
        <v>3</v>
      </c>
      <c r="AK4" s="27">
        <v>3</v>
      </c>
      <c r="AL4" s="27">
        <v>3</v>
      </c>
      <c r="AM4" s="27">
        <v>3</v>
      </c>
      <c r="AN4" s="27">
        <v>3</v>
      </c>
      <c r="AO4" s="27">
        <v>3</v>
      </c>
      <c r="AP4" s="27">
        <v>3</v>
      </c>
      <c r="AQ4" s="27">
        <v>3</v>
      </c>
      <c r="AR4" s="28">
        <f t="shared" ref="AR4:AR33" si="0">SUM(B4:AQ4)</f>
        <v>126</v>
      </c>
    </row>
    <row r="5" spans="1:44" ht="21.95" customHeight="1" x14ac:dyDescent="0.25">
      <c r="A5" s="27" t="s">
        <v>215</v>
      </c>
      <c r="B5" s="27">
        <v>3</v>
      </c>
      <c r="C5" s="27">
        <v>3</v>
      </c>
      <c r="D5" s="27">
        <v>3</v>
      </c>
      <c r="E5" s="27">
        <v>3</v>
      </c>
      <c r="F5" s="27">
        <v>3</v>
      </c>
      <c r="G5" s="27">
        <v>4</v>
      </c>
      <c r="H5" s="27">
        <v>4</v>
      </c>
      <c r="I5" s="27">
        <v>4</v>
      </c>
      <c r="J5" s="27">
        <v>4</v>
      </c>
      <c r="K5" s="27">
        <v>4</v>
      </c>
      <c r="L5" s="27">
        <v>4</v>
      </c>
      <c r="M5" s="27">
        <v>4</v>
      </c>
      <c r="N5" s="27">
        <v>4</v>
      </c>
      <c r="O5" s="27">
        <v>4</v>
      </c>
      <c r="P5" s="27">
        <v>4</v>
      </c>
      <c r="Q5" s="27">
        <v>4</v>
      </c>
      <c r="R5" s="27">
        <v>4</v>
      </c>
      <c r="S5" s="27">
        <v>4</v>
      </c>
      <c r="T5" s="27">
        <v>4</v>
      </c>
      <c r="U5" s="27">
        <v>4</v>
      </c>
      <c r="V5" s="27">
        <v>4</v>
      </c>
      <c r="W5" s="27">
        <v>4</v>
      </c>
      <c r="X5" s="27">
        <v>4</v>
      </c>
      <c r="Y5" s="27">
        <v>4</v>
      </c>
      <c r="Z5" s="27">
        <v>4</v>
      </c>
      <c r="AA5" s="27">
        <v>4</v>
      </c>
      <c r="AB5" s="27">
        <v>4</v>
      </c>
      <c r="AC5" s="27">
        <v>4</v>
      </c>
      <c r="AD5" s="27">
        <v>4</v>
      </c>
      <c r="AE5" s="27">
        <v>4</v>
      </c>
      <c r="AF5" s="27">
        <v>4</v>
      </c>
      <c r="AG5" s="27">
        <v>4</v>
      </c>
      <c r="AH5" s="27">
        <v>4</v>
      </c>
      <c r="AI5" s="27">
        <v>4</v>
      </c>
      <c r="AJ5" s="27">
        <v>4</v>
      </c>
      <c r="AK5" s="27">
        <v>4</v>
      </c>
      <c r="AL5" s="27">
        <v>4</v>
      </c>
      <c r="AM5" s="27">
        <v>4</v>
      </c>
      <c r="AN5" s="27">
        <v>4</v>
      </c>
      <c r="AO5" s="27">
        <v>4</v>
      </c>
      <c r="AP5" s="27">
        <v>4</v>
      </c>
      <c r="AQ5" s="27">
        <v>4</v>
      </c>
      <c r="AR5" s="28">
        <f t="shared" si="0"/>
        <v>163</v>
      </c>
    </row>
    <row r="6" spans="1:44" ht="21.95" customHeight="1" x14ac:dyDescent="0.25">
      <c r="A6" s="27" t="s">
        <v>216</v>
      </c>
      <c r="B6" s="27">
        <v>4</v>
      </c>
      <c r="C6" s="27">
        <v>4</v>
      </c>
      <c r="D6" s="27">
        <v>4</v>
      </c>
      <c r="E6" s="27">
        <v>4</v>
      </c>
      <c r="F6" s="27">
        <v>4</v>
      </c>
      <c r="G6" s="27">
        <v>4</v>
      </c>
      <c r="H6" s="27">
        <v>4</v>
      </c>
      <c r="I6" s="27">
        <v>4</v>
      </c>
      <c r="J6" s="27">
        <v>4</v>
      </c>
      <c r="K6" s="27">
        <v>4</v>
      </c>
      <c r="L6" s="27">
        <v>4</v>
      </c>
      <c r="M6" s="27">
        <v>4</v>
      </c>
      <c r="N6" s="27">
        <v>4</v>
      </c>
      <c r="O6" s="27">
        <v>4</v>
      </c>
      <c r="P6" s="27">
        <v>4</v>
      </c>
      <c r="Q6" s="27">
        <v>4</v>
      </c>
      <c r="R6" s="27">
        <v>4</v>
      </c>
      <c r="S6" s="27">
        <v>4</v>
      </c>
      <c r="T6" s="27">
        <v>4</v>
      </c>
      <c r="U6" s="27">
        <v>4</v>
      </c>
      <c r="V6" s="27">
        <v>4</v>
      </c>
      <c r="W6" s="27">
        <v>4</v>
      </c>
      <c r="X6" s="27">
        <v>4</v>
      </c>
      <c r="Y6" s="27">
        <v>4</v>
      </c>
      <c r="Z6" s="27">
        <v>4</v>
      </c>
      <c r="AA6" s="27">
        <v>4</v>
      </c>
      <c r="AB6" s="27">
        <v>4</v>
      </c>
      <c r="AC6" s="27">
        <v>4</v>
      </c>
      <c r="AD6" s="27">
        <v>4</v>
      </c>
      <c r="AE6" s="27">
        <v>4</v>
      </c>
      <c r="AF6" s="27">
        <v>4</v>
      </c>
      <c r="AG6" s="27">
        <v>4</v>
      </c>
      <c r="AH6" s="27">
        <v>4</v>
      </c>
      <c r="AI6" s="27">
        <v>4</v>
      </c>
      <c r="AJ6" s="27">
        <v>4</v>
      </c>
      <c r="AK6" s="27">
        <v>4</v>
      </c>
      <c r="AL6" s="27">
        <v>4</v>
      </c>
      <c r="AM6" s="27">
        <v>4</v>
      </c>
      <c r="AN6" s="27">
        <v>4</v>
      </c>
      <c r="AO6" s="27">
        <v>4</v>
      </c>
      <c r="AP6" s="27">
        <v>4</v>
      </c>
      <c r="AQ6" s="27">
        <v>4</v>
      </c>
      <c r="AR6" s="28">
        <f t="shared" si="0"/>
        <v>168</v>
      </c>
    </row>
    <row r="7" spans="1:44" ht="21.95" customHeight="1" x14ac:dyDescent="0.25">
      <c r="A7" s="27" t="s">
        <v>217</v>
      </c>
      <c r="B7" s="27">
        <v>4</v>
      </c>
      <c r="C7" s="27">
        <v>4</v>
      </c>
      <c r="D7" s="27">
        <v>4</v>
      </c>
      <c r="E7" s="27">
        <v>4</v>
      </c>
      <c r="F7" s="27">
        <v>4</v>
      </c>
      <c r="G7" s="27">
        <v>4</v>
      </c>
      <c r="H7" s="27">
        <v>4</v>
      </c>
      <c r="I7" s="27">
        <v>4</v>
      </c>
      <c r="J7" s="27">
        <v>4</v>
      </c>
      <c r="K7" s="27">
        <v>4</v>
      </c>
      <c r="L7" s="27">
        <v>4</v>
      </c>
      <c r="M7" s="27">
        <v>4</v>
      </c>
      <c r="N7" s="27">
        <v>4</v>
      </c>
      <c r="O7" s="27">
        <v>4</v>
      </c>
      <c r="P7" s="27">
        <v>4</v>
      </c>
      <c r="Q7" s="27">
        <v>4</v>
      </c>
      <c r="R7" s="27">
        <v>4</v>
      </c>
      <c r="S7" s="27">
        <v>4</v>
      </c>
      <c r="T7" s="27">
        <v>4</v>
      </c>
      <c r="U7" s="27">
        <v>4</v>
      </c>
      <c r="V7" s="27">
        <v>4</v>
      </c>
      <c r="W7" s="27">
        <v>4</v>
      </c>
      <c r="X7" s="27">
        <v>4</v>
      </c>
      <c r="Y7" s="27">
        <v>4</v>
      </c>
      <c r="Z7" s="27">
        <v>4</v>
      </c>
      <c r="AA7" s="27">
        <v>4</v>
      </c>
      <c r="AB7" s="27">
        <v>4</v>
      </c>
      <c r="AC7" s="27">
        <v>4</v>
      </c>
      <c r="AD7" s="27">
        <v>4</v>
      </c>
      <c r="AE7" s="27">
        <v>4</v>
      </c>
      <c r="AF7" s="27">
        <v>4</v>
      </c>
      <c r="AG7" s="27">
        <v>4</v>
      </c>
      <c r="AH7" s="27">
        <v>4</v>
      </c>
      <c r="AI7" s="27">
        <v>4</v>
      </c>
      <c r="AJ7" s="27">
        <v>4</v>
      </c>
      <c r="AK7" s="27">
        <v>4</v>
      </c>
      <c r="AL7" s="27">
        <v>4</v>
      </c>
      <c r="AM7" s="27">
        <v>4</v>
      </c>
      <c r="AN7" s="27">
        <v>4</v>
      </c>
      <c r="AO7" s="27">
        <v>4</v>
      </c>
      <c r="AP7" s="27">
        <v>4</v>
      </c>
      <c r="AQ7" s="27">
        <v>4</v>
      </c>
      <c r="AR7" s="28">
        <f t="shared" si="0"/>
        <v>168</v>
      </c>
    </row>
    <row r="8" spans="1:44" ht="21.95" customHeight="1" x14ac:dyDescent="0.25">
      <c r="A8" s="27" t="s">
        <v>218</v>
      </c>
      <c r="B8" s="27">
        <v>4</v>
      </c>
      <c r="C8" s="27">
        <v>4</v>
      </c>
      <c r="D8" s="27">
        <v>4</v>
      </c>
      <c r="E8" s="27">
        <v>4</v>
      </c>
      <c r="F8" s="27">
        <v>4</v>
      </c>
      <c r="G8" s="27">
        <v>4</v>
      </c>
      <c r="H8" s="27">
        <v>4</v>
      </c>
      <c r="I8" s="27">
        <v>4</v>
      </c>
      <c r="J8" s="27">
        <v>4</v>
      </c>
      <c r="K8" s="27">
        <v>4</v>
      </c>
      <c r="L8" s="27">
        <v>4</v>
      </c>
      <c r="M8" s="27">
        <v>4</v>
      </c>
      <c r="N8" s="27">
        <v>4</v>
      </c>
      <c r="O8" s="27">
        <v>4</v>
      </c>
      <c r="P8" s="27">
        <v>4</v>
      </c>
      <c r="Q8" s="27">
        <v>4</v>
      </c>
      <c r="R8" s="27">
        <v>4</v>
      </c>
      <c r="S8" s="27">
        <v>4</v>
      </c>
      <c r="T8" s="27">
        <v>4</v>
      </c>
      <c r="U8" s="27">
        <v>4</v>
      </c>
      <c r="V8" s="27">
        <v>4</v>
      </c>
      <c r="W8" s="27">
        <v>4</v>
      </c>
      <c r="X8" s="27">
        <v>4</v>
      </c>
      <c r="Y8" s="27">
        <v>4</v>
      </c>
      <c r="Z8" s="27">
        <v>4</v>
      </c>
      <c r="AA8" s="27">
        <v>4</v>
      </c>
      <c r="AB8" s="27">
        <v>4</v>
      </c>
      <c r="AC8" s="27">
        <v>4</v>
      </c>
      <c r="AD8" s="27">
        <v>4</v>
      </c>
      <c r="AE8" s="27">
        <v>4</v>
      </c>
      <c r="AF8" s="27">
        <v>4</v>
      </c>
      <c r="AG8" s="27">
        <v>4</v>
      </c>
      <c r="AH8" s="27">
        <v>4</v>
      </c>
      <c r="AI8" s="27">
        <v>4</v>
      </c>
      <c r="AJ8" s="27">
        <v>4</v>
      </c>
      <c r="AK8" s="27">
        <v>4</v>
      </c>
      <c r="AL8" s="27">
        <v>4</v>
      </c>
      <c r="AM8" s="27">
        <v>4</v>
      </c>
      <c r="AN8" s="27">
        <v>4</v>
      </c>
      <c r="AO8" s="27">
        <v>4</v>
      </c>
      <c r="AP8" s="27">
        <v>4</v>
      </c>
      <c r="AQ8" s="27">
        <v>4</v>
      </c>
      <c r="AR8" s="28">
        <f t="shared" si="0"/>
        <v>168</v>
      </c>
    </row>
    <row r="9" spans="1:44" ht="21.95" customHeight="1" x14ac:dyDescent="0.25">
      <c r="A9" s="27" t="s">
        <v>219</v>
      </c>
      <c r="B9" s="27">
        <v>4</v>
      </c>
      <c r="C9" s="27">
        <v>4</v>
      </c>
      <c r="D9" s="27">
        <v>4</v>
      </c>
      <c r="E9" s="27">
        <v>4</v>
      </c>
      <c r="F9" s="27">
        <v>4</v>
      </c>
      <c r="G9" s="27">
        <v>4</v>
      </c>
      <c r="H9" s="27">
        <v>4</v>
      </c>
      <c r="I9" s="27">
        <v>4</v>
      </c>
      <c r="J9" s="27">
        <v>4</v>
      </c>
      <c r="K9" s="27">
        <v>4</v>
      </c>
      <c r="L9" s="27">
        <v>4</v>
      </c>
      <c r="M9" s="27">
        <v>4</v>
      </c>
      <c r="N9" s="27">
        <v>4</v>
      </c>
      <c r="O9" s="27">
        <v>4</v>
      </c>
      <c r="P9" s="27">
        <v>4</v>
      </c>
      <c r="Q9" s="27">
        <v>4</v>
      </c>
      <c r="R9" s="27">
        <v>4</v>
      </c>
      <c r="S9" s="27">
        <v>4</v>
      </c>
      <c r="T9" s="27">
        <v>4</v>
      </c>
      <c r="U9" s="27">
        <v>4</v>
      </c>
      <c r="V9" s="27">
        <v>4</v>
      </c>
      <c r="W9" s="27">
        <v>4</v>
      </c>
      <c r="X9" s="27">
        <v>4</v>
      </c>
      <c r="Y9" s="27">
        <v>4</v>
      </c>
      <c r="Z9" s="27">
        <v>4</v>
      </c>
      <c r="AA9" s="27">
        <v>4</v>
      </c>
      <c r="AB9" s="27">
        <v>4</v>
      </c>
      <c r="AC9" s="27">
        <v>4</v>
      </c>
      <c r="AD9" s="27">
        <v>4</v>
      </c>
      <c r="AE9" s="27">
        <v>4</v>
      </c>
      <c r="AF9" s="27">
        <v>4</v>
      </c>
      <c r="AG9" s="27">
        <v>4</v>
      </c>
      <c r="AH9" s="27">
        <v>4</v>
      </c>
      <c r="AI9" s="27">
        <v>4</v>
      </c>
      <c r="AJ9" s="27">
        <v>4</v>
      </c>
      <c r="AK9" s="27">
        <v>4</v>
      </c>
      <c r="AL9" s="27">
        <v>4</v>
      </c>
      <c r="AM9" s="27">
        <v>4</v>
      </c>
      <c r="AN9" s="27">
        <v>4</v>
      </c>
      <c r="AO9" s="27">
        <v>4</v>
      </c>
      <c r="AP9" s="27">
        <v>4</v>
      </c>
      <c r="AQ9" s="27">
        <v>4</v>
      </c>
      <c r="AR9" s="28">
        <f t="shared" si="0"/>
        <v>168</v>
      </c>
    </row>
    <row r="10" spans="1:44" ht="21.95" customHeight="1" x14ac:dyDescent="0.25">
      <c r="A10" s="27" t="s">
        <v>220</v>
      </c>
      <c r="B10" s="27">
        <v>4</v>
      </c>
      <c r="C10" s="27">
        <v>4</v>
      </c>
      <c r="D10" s="27">
        <v>4</v>
      </c>
      <c r="E10" s="27">
        <v>4</v>
      </c>
      <c r="F10" s="27">
        <v>4</v>
      </c>
      <c r="G10" s="27">
        <v>4</v>
      </c>
      <c r="H10" s="27">
        <v>4</v>
      </c>
      <c r="I10" s="27">
        <v>4</v>
      </c>
      <c r="J10" s="27">
        <v>4</v>
      </c>
      <c r="K10" s="27">
        <v>4</v>
      </c>
      <c r="L10" s="27">
        <v>4</v>
      </c>
      <c r="M10" s="27">
        <v>4</v>
      </c>
      <c r="N10" s="27">
        <v>4</v>
      </c>
      <c r="O10" s="27">
        <v>4</v>
      </c>
      <c r="P10" s="27">
        <v>4</v>
      </c>
      <c r="Q10" s="27">
        <v>4</v>
      </c>
      <c r="R10" s="27">
        <v>4</v>
      </c>
      <c r="S10" s="27">
        <v>4</v>
      </c>
      <c r="T10" s="27">
        <v>4</v>
      </c>
      <c r="U10" s="27">
        <v>4</v>
      </c>
      <c r="V10" s="27">
        <v>4</v>
      </c>
      <c r="W10" s="27">
        <v>4</v>
      </c>
      <c r="X10" s="27">
        <v>4</v>
      </c>
      <c r="Y10" s="27">
        <v>4</v>
      </c>
      <c r="Z10" s="27">
        <v>4</v>
      </c>
      <c r="AA10" s="27">
        <v>4</v>
      </c>
      <c r="AB10" s="27">
        <v>4</v>
      </c>
      <c r="AC10" s="27">
        <v>4</v>
      </c>
      <c r="AD10" s="27">
        <v>4</v>
      </c>
      <c r="AE10" s="27">
        <v>4</v>
      </c>
      <c r="AF10" s="27">
        <v>4</v>
      </c>
      <c r="AG10" s="27">
        <v>4</v>
      </c>
      <c r="AH10" s="27">
        <v>4</v>
      </c>
      <c r="AI10" s="27">
        <v>4</v>
      </c>
      <c r="AJ10" s="27">
        <v>4</v>
      </c>
      <c r="AK10" s="27">
        <v>4</v>
      </c>
      <c r="AL10" s="27">
        <v>4</v>
      </c>
      <c r="AM10" s="27">
        <v>4</v>
      </c>
      <c r="AN10" s="27">
        <v>4</v>
      </c>
      <c r="AO10" s="27">
        <v>4</v>
      </c>
      <c r="AP10" s="27">
        <v>4</v>
      </c>
      <c r="AQ10" s="27">
        <v>4</v>
      </c>
      <c r="AR10" s="28">
        <f t="shared" si="0"/>
        <v>168</v>
      </c>
    </row>
    <row r="11" spans="1:44" ht="21.95" customHeight="1" x14ac:dyDescent="0.25">
      <c r="A11" s="27" t="s">
        <v>221</v>
      </c>
      <c r="B11" s="27">
        <v>4</v>
      </c>
      <c r="C11" s="27">
        <v>4</v>
      </c>
      <c r="D11" s="27">
        <v>4</v>
      </c>
      <c r="E11" s="27">
        <v>4</v>
      </c>
      <c r="F11" s="27">
        <v>4</v>
      </c>
      <c r="G11" s="27">
        <v>4</v>
      </c>
      <c r="H11" s="27">
        <v>4</v>
      </c>
      <c r="I11" s="27">
        <v>4</v>
      </c>
      <c r="J11" s="27">
        <v>4</v>
      </c>
      <c r="K11" s="27">
        <v>4</v>
      </c>
      <c r="L11" s="27">
        <v>4</v>
      </c>
      <c r="M11" s="27">
        <v>4</v>
      </c>
      <c r="N11" s="27">
        <v>4</v>
      </c>
      <c r="O11" s="27">
        <v>4</v>
      </c>
      <c r="P11" s="27">
        <v>4</v>
      </c>
      <c r="Q11" s="27">
        <v>4</v>
      </c>
      <c r="R11" s="27">
        <v>4</v>
      </c>
      <c r="S11" s="27">
        <v>4</v>
      </c>
      <c r="T11" s="27">
        <v>4</v>
      </c>
      <c r="U11" s="27">
        <v>4</v>
      </c>
      <c r="V11" s="27">
        <v>4</v>
      </c>
      <c r="W11" s="27">
        <v>4</v>
      </c>
      <c r="X11" s="27">
        <v>4</v>
      </c>
      <c r="Y11" s="27">
        <v>4</v>
      </c>
      <c r="Z11" s="27">
        <v>4</v>
      </c>
      <c r="AA11" s="27">
        <v>4</v>
      </c>
      <c r="AB11" s="27">
        <v>4</v>
      </c>
      <c r="AC11" s="27">
        <v>4</v>
      </c>
      <c r="AD11" s="27">
        <v>4</v>
      </c>
      <c r="AE11" s="27">
        <v>4</v>
      </c>
      <c r="AF11" s="27">
        <v>4</v>
      </c>
      <c r="AG11" s="27">
        <v>4</v>
      </c>
      <c r="AH11" s="27">
        <v>4</v>
      </c>
      <c r="AI11" s="27">
        <v>4</v>
      </c>
      <c r="AJ11" s="27">
        <v>4</v>
      </c>
      <c r="AK11" s="27">
        <v>4</v>
      </c>
      <c r="AL11" s="27">
        <v>4</v>
      </c>
      <c r="AM11" s="27">
        <v>4</v>
      </c>
      <c r="AN11" s="27">
        <v>4</v>
      </c>
      <c r="AO11" s="27">
        <v>4</v>
      </c>
      <c r="AP11" s="27">
        <v>4</v>
      </c>
      <c r="AQ11" s="27">
        <v>4</v>
      </c>
      <c r="AR11" s="28">
        <f t="shared" si="0"/>
        <v>168</v>
      </c>
    </row>
    <row r="12" spans="1:44" ht="21.95" customHeight="1" x14ac:dyDescent="0.25">
      <c r="A12" s="27" t="s">
        <v>222</v>
      </c>
      <c r="B12" s="27">
        <v>4</v>
      </c>
      <c r="C12" s="27">
        <v>4</v>
      </c>
      <c r="D12" s="27">
        <v>4</v>
      </c>
      <c r="E12" s="27">
        <v>4</v>
      </c>
      <c r="F12" s="27">
        <v>4</v>
      </c>
      <c r="G12" s="27">
        <v>4</v>
      </c>
      <c r="H12" s="27">
        <v>4</v>
      </c>
      <c r="I12" s="27">
        <v>4</v>
      </c>
      <c r="J12" s="27">
        <v>4</v>
      </c>
      <c r="K12" s="27">
        <v>4</v>
      </c>
      <c r="L12" s="27">
        <v>4</v>
      </c>
      <c r="M12" s="27">
        <v>4</v>
      </c>
      <c r="N12" s="27">
        <v>4</v>
      </c>
      <c r="O12" s="27">
        <v>4</v>
      </c>
      <c r="P12" s="27">
        <v>4</v>
      </c>
      <c r="Q12" s="27">
        <v>4</v>
      </c>
      <c r="R12" s="27">
        <v>4</v>
      </c>
      <c r="S12" s="27">
        <v>4</v>
      </c>
      <c r="T12" s="27">
        <v>4</v>
      </c>
      <c r="U12" s="27">
        <v>4</v>
      </c>
      <c r="V12" s="27">
        <v>4</v>
      </c>
      <c r="W12" s="27">
        <v>4</v>
      </c>
      <c r="X12" s="27">
        <v>4</v>
      </c>
      <c r="Y12" s="27">
        <v>4</v>
      </c>
      <c r="Z12" s="27">
        <v>4</v>
      </c>
      <c r="AA12" s="27">
        <v>4</v>
      </c>
      <c r="AB12" s="27">
        <v>4</v>
      </c>
      <c r="AC12" s="27">
        <v>4</v>
      </c>
      <c r="AD12" s="27">
        <v>4</v>
      </c>
      <c r="AE12" s="27">
        <v>4</v>
      </c>
      <c r="AF12" s="27">
        <v>4</v>
      </c>
      <c r="AG12" s="27">
        <v>4</v>
      </c>
      <c r="AH12" s="27">
        <v>4</v>
      </c>
      <c r="AI12" s="27">
        <v>4</v>
      </c>
      <c r="AJ12" s="27">
        <v>4</v>
      </c>
      <c r="AK12" s="27">
        <v>4</v>
      </c>
      <c r="AL12" s="27">
        <v>4</v>
      </c>
      <c r="AM12" s="27">
        <v>4</v>
      </c>
      <c r="AN12" s="27">
        <v>4</v>
      </c>
      <c r="AO12" s="27">
        <v>4</v>
      </c>
      <c r="AP12" s="27">
        <v>4</v>
      </c>
      <c r="AQ12" s="27">
        <v>4</v>
      </c>
      <c r="AR12" s="28">
        <f t="shared" si="0"/>
        <v>168</v>
      </c>
    </row>
    <row r="13" spans="1:44" ht="21.95" customHeight="1" x14ac:dyDescent="0.25">
      <c r="A13" s="27" t="s">
        <v>126</v>
      </c>
      <c r="B13" s="27">
        <v>4</v>
      </c>
      <c r="C13" s="27">
        <v>4</v>
      </c>
      <c r="D13" s="27">
        <v>4</v>
      </c>
      <c r="E13" s="27">
        <v>4</v>
      </c>
      <c r="F13" s="27">
        <v>4</v>
      </c>
      <c r="G13" s="27">
        <v>4</v>
      </c>
      <c r="H13" s="27">
        <v>4</v>
      </c>
      <c r="I13" s="27">
        <v>4</v>
      </c>
      <c r="J13" s="27">
        <v>4</v>
      </c>
      <c r="K13" s="27">
        <v>4</v>
      </c>
      <c r="L13" s="27">
        <v>4</v>
      </c>
      <c r="M13" s="27">
        <v>4</v>
      </c>
      <c r="N13" s="27">
        <v>4</v>
      </c>
      <c r="O13" s="27">
        <v>4</v>
      </c>
      <c r="P13" s="27">
        <v>4</v>
      </c>
      <c r="Q13" s="27">
        <v>4</v>
      </c>
      <c r="R13" s="27">
        <v>4</v>
      </c>
      <c r="S13" s="27">
        <v>4</v>
      </c>
      <c r="T13" s="27">
        <v>4</v>
      </c>
      <c r="U13" s="27">
        <v>4</v>
      </c>
      <c r="V13" s="27">
        <v>4</v>
      </c>
      <c r="W13" s="27">
        <v>4</v>
      </c>
      <c r="X13" s="27">
        <v>4</v>
      </c>
      <c r="Y13" s="27">
        <v>4</v>
      </c>
      <c r="Z13" s="27">
        <v>4</v>
      </c>
      <c r="AA13" s="27">
        <v>4</v>
      </c>
      <c r="AB13" s="27">
        <v>4</v>
      </c>
      <c r="AC13" s="27">
        <v>4</v>
      </c>
      <c r="AD13" s="27">
        <v>4</v>
      </c>
      <c r="AE13" s="27">
        <v>4</v>
      </c>
      <c r="AF13" s="27">
        <v>4</v>
      </c>
      <c r="AG13" s="27">
        <v>4</v>
      </c>
      <c r="AH13" s="27">
        <v>4</v>
      </c>
      <c r="AI13" s="27">
        <v>4</v>
      </c>
      <c r="AJ13" s="27">
        <v>4</v>
      </c>
      <c r="AK13" s="27">
        <v>4</v>
      </c>
      <c r="AL13" s="27">
        <v>4</v>
      </c>
      <c r="AM13" s="27">
        <v>4</v>
      </c>
      <c r="AN13" s="27">
        <v>4</v>
      </c>
      <c r="AO13" s="27">
        <v>4</v>
      </c>
      <c r="AP13" s="27">
        <v>4</v>
      </c>
      <c r="AQ13" s="27">
        <v>4</v>
      </c>
      <c r="AR13" s="28">
        <f t="shared" si="0"/>
        <v>168</v>
      </c>
    </row>
    <row r="14" spans="1:44" ht="21.95" customHeight="1" x14ac:dyDescent="0.25">
      <c r="A14" s="27" t="s">
        <v>127</v>
      </c>
      <c r="B14" s="27">
        <v>4</v>
      </c>
      <c r="C14" s="27">
        <v>4</v>
      </c>
      <c r="D14" s="27">
        <v>4</v>
      </c>
      <c r="E14" s="27">
        <v>4</v>
      </c>
      <c r="F14" s="27">
        <v>4</v>
      </c>
      <c r="G14" s="27">
        <v>4</v>
      </c>
      <c r="H14" s="27">
        <v>4</v>
      </c>
      <c r="I14" s="27">
        <v>4</v>
      </c>
      <c r="J14" s="27">
        <v>4</v>
      </c>
      <c r="K14" s="27">
        <v>4</v>
      </c>
      <c r="L14" s="27">
        <v>4</v>
      </c>
      <c r="M14" s="27">
        <v>4</v>
      </c>
      <c r="N14" s="27">
        <v>4</v>
      </c>
      <c r="O14" s="27">
        <v>4</v>
      </c>
      <c r="P14" s="27">
        <v>4</v>
      </c>
      <c r="Q14" s="27">
        <v>4</v>
      </c>
      <c r="R14" s="27">
        <v>4</v>
      </c>
      <c r="S14" s="27">
        <v>4</v>
      </c>
      <c r="T14" s="27">
        <v>4</v>
      </c>
      <c r="U14" s="27">
        <v>4</v>
      </c>
      <c r="V14" s="27">
        <v>4</v>
      </c>
      <c r="W14" s="27">
        <v>4</v>
      </c>
      <c r="X14" s="27">
        <v>4</v>
      </c>
      <c r="Y14" s="27">
        <v>4</v>
      </c>
      <c r="Z14" s="27">
        <v>4</v>
      </c>
      <c r="AA14" s="27">
        <v>4</v>
      </c>
      <c r="AB14" s="27">
        <v>4</v>
      </c>
      <c r="AC14" s="27">
        <v>4</v>
      </c>
      <c r="AD14" s="27">
        <v>4</v>
      </c>
      <c r="AE14" s="27">
        <v>4</v>
      </c>
      <c r="AF14" s="27">
        <v>4</v>
      </c>
      <c r="AG14" s="27">
        <v>4</v>
      </c>
      <c r="AH14" s="27">
        <v>4</v>
      </c>
      <c r="AI14" s="27">
        <v>4</v>
      </c>
      <c r="AJ14" s="27">
        <v>4</v>
      </c>
      <c r="AK14" s="27">
        <v>4</v>
      </c>
      <c r="AL14" s="27">
        <v>4</v>
      </c>
      <c r="AM14" s="27">
        <v>4</v>
      </c>
      <c r="AN14" s="27">
        <v>4</v>
      </c>
      <c r="AO14" s="27">
        <v>4</v>
      </c>
      <c r="AP14" s="27">
        <v>4</v>
      </c>
      <c r="AQ14" s="27">
        <v>4</v>
      </c>
      <c r="AR14" s="28">
        <f t="shared" si="0"/>
        <v>168</v>
      </c>
    </row>
    <row r="15" spans="1:44" ht="21.95" customHeight="1" x14ac:dyDescent="0.25">
      <c r="A15" s="27" t="s">
        <v>128</v>
      </c>
      <c r="B15" s="27">
        <v>4</v>
      </c>
      <c r="C15" s="27">
        <v>4</v>
      </c>
      <c r="D15" s="27">
        <v>4</v>
      </c>
      <c r="E15" s="27">
        <v>4</v>
      </c>
      <c r="F15" s="27">
        <v>4</v>
      </c>
      <c r="G15" s="27">
        <v>4</v>
      </c>
      <c r="H15" s="27">
        <v>4</v>
      </c>
      <c r="I15" s="27">
        <v>4</v>
      </c>
      <c r="J15" s="27">
        <v>4</v>
      </c>
      <c r="K15" s="27">
        <v>4</v>
      </c>
      <c r="L15" s="27">
        <v>4</v>
      </c>
      <c r="M15" s="27">
        <v>4</v>
      </c>
      <c r="N15" s="27">
        <v>4</v>
      </c>
      <c r="O15" s="27">
        <v>4</v>
      </c>
      <c r="P15" s="27">
        <v>4</v>
      </c>
      <c r="Q15" s="27">
        <v>4</v>
      </c>
      <c r="R15" s="27">
        <v>4</v>
      </c>
      <c r="S15" s="27">
        <v>4</v>
      </c>
      <c r="T15" s="27">
        <v>4</v>
      </c>
      <c r="U15" s="27">
        <v>4</v>
      </c>
      <c r="V15" s="27">
        <v>4</v>
      </c>
      <c r="W15" s="27">
        <v>4</v>
      </c>
      <c r="X15" s="27">
        <v>4</v>
      </c>
      <c r="Y15" s="27">
        <v>4</v>
      </c>
      <c r="Z15" s="27">
        <v>4</v>
      </c>
      <c r="AA15" s="27">
        <v>4</v>
      </c>
      <c r="AB15" s="27">
        <v>4</v>
      </c>
      <c r="AC15" s="27">
        <v>4</v>
      </c>
      <c r="AD15" s="27">
        <v>4</v>
      </c>
      <c r="AE15" s="27">
        <v>4</v>
      </c>
      <c r="AF15" s="27">
        <v>4</v>
      </c>
      <c r="AG15" s="27">
        <v>4</v>
      </c>
      <c r="AH15" s="27">
        <v>4</v>
      </c>
      <c r="AI15" s="27">
        <v>4</v>
      </c>
      <c r="AJ15" s="27">
        <v>4</v>
      </c>
      <c r="AK15" s="27">
        <v>4</v>
      </c>
      <c r="AL15" s="27">
        <v>4</v>
      </c>
      <c r="AM15" s="27">
        <v>4</v>
      </c>
      <c r="AN15" s="27">
        <v>4</v>
      </c>
      <c r="AO15" s="27">
        <v>4</v>
      </c>
      <c r="AP15" s="27">
        <v>4</v>
      </c>
      <c r="AQ15" s="27">
        <v>4</v>
      </c>
      <c r="AR15" s="28">
        <f t="shared" si="0"/>
        <v>168</v>
      </c>
    </row>
    <row r="16" spans="1:44" ht="21.95" customHeight="1" x14ac:dyDescent="0.25">
      <c r="A16" s="27" t="s">
        <v>129</v>
      </c>
      <c r="B16" s="27">
        <v>4</v>
      </c>
      <c r="C16" s="27">
        <v>4</v>
      </c>
      <c r="D16" s="27">
        <v>4</v>
      </c>
      <c r="E16" s="27">
        <v>4</v>
      </c>
      <c r="F16" s="27">
        <v>4</v>
      </c>
      <c r="G16" s="27">
        <v>4</v>
      </c>
      <c r="H16" s="27">
        <v>4</v>
      </c>
      <c r="I16" s="27">
        <v>4</v>
      </c>
      <c r="J16" s="27">
        <v>4</v>
      </c>
      <c r="K16" s="27">
        <v>4</v>
      </c>
      <c r="L16" s="27">
        <v>4</v>
      </c>
      <c r="M16" s="27">
        <v>4</v>
      </c>
      <c r="N16" s="27">
        <v>4</v>
      </c>
      <c r="O16" s="27">
        <v>4</v>
      </c>
      <c r="P16" s="27">
        <v>4</v>
      </c>
      <c r="Q16" s="27">
        <v>4</v>
      </c>
      <c r="R16" s="27">
        <v>4</v>
      </c>
      <c r="S16" s="27">
        <v>4</v>
      </c>
      <c r="T16" s="27">
        <v>4</v>
      </c>
      <c r="U16" s="27">
        <v>4</v>
      </c>
      <c r="V16" s="27">
        <v>4</v>
      </c>
      <c r="W16" s="27">
        <v>4</v>
      </c>
      <c r="X16" s="27">
        <v>4</v>
      </c>
      <c r="Y16" s="27">
        <v>4</v>
      </c>
      <c r="Z16" s="27">
        <v>4</v>
      </c>
      <c r="AA16" s="27">
        <v>4</v>
      </c>
      <c r="AB16" s="27">
        <v>4</v>
      </c>
      <c r="AC16" s="27">
        <v>4</v>
      </c>
      <c r="AD16" s="27">
        <v>4</v>
      </c>
      <c r="AE16" s="27">
        <v>4</v>
      </c>
      <c r="AF16" s="27">
        <v>4</v>
      </c>
      <c r="AG16" s="27">
        <v>4</v>
      </c>
      <c r="AH16" s="27">
        <v>4</v>
      </c>
      <c r="AI16" s="27">
        <v>4</v>
      </c>
      <c r="AJ16" s="27">
        <v>4</v>
      </c>
      <c r="AK16" s="27">
        <v>4</v>
      </c>
      <c r="AL16" s="27">
        <v>4</v>
      </c>
      <c r="AM16" s="27">
        <v>4</v>
      </c>
      <c r="AN16" s="27">
        <v>4</v>
      </c>
      <c r="AO16" s="27">
        <v>4</v>
      </c>
      <c r="AP16" s="27">
        <v>4</v>
      </c>
      <c r="AQ16" s="27">
        <v>4</v>
      </c>
      <c r="AR16" s="28">
        <f t="shared" si="0"/>
        <v>168</v>
      </c>
    </row>
    <row r="17" spans="1:44" ht="21.95" customHeight="1" x14ac:dyDescent="0.25">
      <c r="A17" s="27" t="s">
        <v>130</v>
      </c>
      <c r="B17" s="27">
        <v>4</v>
      </c>
      <c r="C17" s="27">
        <v>4</v>
      </c>
      <c r="D17" s="27">
        <v>4</v>
      </c>
      <c r="E17" s="27">
        <v>4</v>
      </c>
      <c r="F17" s="27">
        <v>4</v>
      </c>
      <c r="G17" s="27">
        <v>4</v>
      </c>
      <c r="H17" s="27">
        <v>4</v>
      </c>
      <c r="I17" s="27">
        <v>4</v>
      </c>
      <c r="J17" s="27">
        <v>4</v>
      </c>
      <c r="K17" s="27">
        <v>4</v>
      </c>
      <c r="L17" s="27">
        <v>4</v>
      </c>
      <c r="M17" s="27">
        <v>4</v>
      </c>
      <c r="N17" s="27">
        <v>4</v>
      </c>
      <c r="O17" s="27">
        <v>4</v>
      </c>
      <c r="P17" s="27">
        <v>4</v>
      </c>
      <c r="Q17" s="27">
        <v>4</v>
      </c>
      <c r="R17" s="27">
        <v>4</v>
      </c>
      <c r="S17" s="27">
        <v>4</v>
      </c>
      <c r="T17" s="27">
        <v>4</v>
      </c>
      <c r="U17" s="27">
        <v>4</v>
      </c>
      <c r="V17" s="27">
        <v>4</v>
      </c>
      <c r="W17" s="27">
        <v>4</v>
      </c>
      <c r="X17" s="27">
        <v>4</v>
      </c>
      <c r="Y17" s="27">
        <v>4</v>
      </c>
      <c r="Z17" s="27">
        <v>4</v>
      </c>
      <c r="AA17" s="27">
        <v>4</v>
      </c>
      <c r="AB17" s="27">
        <v>4</v>
      </c>
      <c r="AC17" s="27">
        <v>4</v>
      </c>
      <c r="AD17" s="27">
        <v>4</v>
      </c>
      <c r="AE17" s="27">
        <v>4</v>
      </c>
      <c r="AF17" s="27">
        <v>4</v>
      </c>
      <c r="AG17" s="27">
        <v>4</v>
      </c>
      <c r="AH17" s="27">
        <v>4</v>
      </c>
      <c r="AI17" s="27">
        <v>4</v>
      </c>
      <c r="AJ17" s="27">
        <v>4</v>
      </c>
      <c r="AK17" s="27">
        <v>4</v>
      </c>
      <c r="AL17" s="27">
        <v>4</v>
      </c>
      <c r="AM17" s="27">
        <v>4</v>
      </c>
      <c r="AN17" s="27">
        <v>4</v>
      </c>
      <c r="AO17" s="27">
        <v>4</v>
      </c>
      <c r="AP17" s="27">
        <v>4</v>
      </c>
      <c r="AQ17" s="27">
        <v>4</v>
      </c>
      <c r="AR17" s="28">
        <f t="shared" si="0"/>
        <v>168</v>
      </c>
    </row>
    <row r="18" spans="1:44" ht="21.95" customHeight="1" x14ac:dyDescent="0.25">
      <c r="A18" s="27" t="s">
        <v>131</v>
      </c>
      <c r="B18" s="27">
        <v>4</v>
      </c>
      <c r="C18" s="27">
        <v>4</v>
      </c>
      <c r="D18" s="27">
        <v>4</v>
      </c>
      <c r="E18" s="27">
        <v>4</v>
      </c>
      <c r="F18" s="27">
        <v>4</v>
      </c>
      <c r="G18" s="27">
        <v>4</v>
      </c>
      <c r="H18" s="27">
        <v>4</v>
      </c>
      <c r="I18" s="27">
        <v>4</v>
      </c>
      <c r="J18" s="27">
        <v>4</v>
      </c>
      <c r="K18" s="27">
        <v>4</v>
      </c>
      <c r="L18" s="27">
        <v>4</v>
      </c>
      <c r="M18" s="27">
        <v>4</v>
      </c>
      <c r="N18" s="27">
        <v>4</v>
      </c>
      <c r="O18" s="27">
        <v>4</v>
      </c>
      <c r="P18" s="27">
        <v>4</v>
      </c>
      <c r="Q18" s="27">
        <v>4</v>
      </c>
      <c r="R18" s="27">
        <v>4</v>
      </c>
      <c r="S18" s="27">
        <v>4</v>
      </c>
      <c r="T18" s="27">
        <v>4</v>
      </c>
      <c r="U18" s="27">
        <v>4</v>
      </c>
      <c r="V18" s="27">
        <v>4</v>
      </c>
      <c r="W18" s="27">
        <v>4</v>
      </c>
      <c r="X18" s="27">
        <v>4</v>
      </c>
      <c r="Y18" s="27">
        <v>4</v>
      </c>
      <c r="Z18" s="27">
        <v>4</v>
      </c>
      <c r="AA18" s="27">
        <v>4</v>
      </c>
      <c r="AB18" s="27">
        <v>4</v>
      </c>
      <c r="AC18" s="27">
        <v>4</v>
      </c>
      <c r="AD18" s="27">
        <v>4</v>
      </c>
      <c r="AE18" s="27">
        <v>4</v>
      </c>
      <c r="AF18" s="27">
        <v>4</v>
      </c>
      <c r="AG18" s="27">
        <v>4</v>
      </c>
      <c r="AH18" s="27">
        <v>4</v>
      </c>
      <c r="AI18" s="27">
        <v>4</v>
      </c>
      <c r="AJ18" s="27">
        <v>4</v>
      </c>
      <c r="AK18" s="27">
        <v>4</v>
      </c>
      <c r="AL18" s="27">
        <v>4</v>
      </c>
      <c r="AM18" s="27">
        <v>4</v>
      </c>
      <c r="AN18" s="27">
        <v>4</v>
      </c>
      <c r="AO18" s="27">
        <v>4</v>
      </c>
      <c r="AP18" s="27">
        <v>4</v>
      </c>
      <c r="AQ18" s="27">
        <v>4</v>
      </c>
      <c r="AR18" s="28">
        <f t="shared" si="0"/>
        <v>168</v>
      </c>
    </row>
    <row r="19" spans="1:44" ht="21.95" customHeight="1" x14ac:dyDescent="0.25">
      <c r="A19" s="27" t="s">
        <v>132</v>
      </c>
      <c r="B19" s="27">
        <v>4</v>
      </c>
      <c r="C19" s="27">
        <v>4</v>
      </c>
      <c r="D19" s="27">
        <v>4</v>
      </c>
      <c r="E19" s="27">
        <v>4</v>
      </c>
      <c r="F19" s="27">
        <v>4</v>
      </c>
      <c r="G19" s="27">
        <v>4</v>
      </c>
      <c r="H19" s="27">
        <v>4</v>
      </c>
      <c r="I19" s="27">
        <v>4</v>
      </c>
      <c r="J19" s="27">
        <v>4</v>
      </c>
      <c r="K19" s="27">
        <v>4</v>
      </c>
      <c r="L19" s="27">
        <v>4</v>
      </c>
      <c r="M19" s="27">
        <v>4</v>
      </c>
      <c r="N19" s="27">
        <v>4</v>
      </c>
      <c r="O19" s="27">
        <v>4</v>
      </c>
      <c r="P19" s="27">
        <v>4</v>
      </c>
      <c r="Q19" s="27">
        <v>4</v>
      </c>
      <c r="R19" s="27">
        <v>4</v>
      </c>
      <c r="S19" s="27">
        <v>4</v>
      </c>
      <c r="T19" s="27">
        <v>4</v>
      </c>
      <c r="U19" s="27">
        <v>4</v>
      </c>
      <c r="V19" s="27">
        <v>4</v>
      </c>
      <c r="W19" s="27">
        <v>4</v>
      </c>
      <c r="X19" s="27">
        <v>4</v>
      </c>
      <c r="Y19" s="27">
        <v>4</v>
      </c>
      <c r="Z19" s="27">
        <v>4</v>
      </c>
      <c r="AA19" s="27">
        <v>4</v>
      </c>
      <c r="AB19" s="27">
        <v>4</v>
      </c>
      <c r="AC19" s="27">
        <v>4</v>
      </c>
      <c r="AD19" s="27">
        <v>4</v>
      </c>
      <c r="AE19" s="27">
        <v>4</v>
      </c>
      <c r="AF19" s="27">
        <v>4</v>
      </c>
      <c r="AG19" s="27">
        <v>4</v>
      </c>
      <c r="AH19" s="27">
        <v>4</v>
      </c>
      <c r="AI19" s="27">
        <v>4</v>
      </c>
      <c r="AJ19" s="27">
        <v>4</v>
      </c>
      <c r="AK19" s="27">
        <v>4</v>
      </c>
      <c r="AL19" s="27">
        <v>4</v>
      </c>
      <c r="AM19" s="27">
        <v>4</v>
      </c>
      <c r="AN19" s="27">
        <v>4</v>
      </c>
      <c r="AO19" s="27">
        <v>4</v>
      </c>
      <c r="AP19" s="27">
        <v>4</v>
      </c>
      <c r="AQ19" s="27">
        <v>4</v>
      </c>
      <c r="AR19" s="28">
        <f t="shared" si="0"/>
        <v>168</v>
      </c>
    </row>
    <row r="20" spans="1:44" ht="21.95" customHeight="1" x14ac:dyDescent="0.25">
      <c r="A20" s="27" t="s">
        <v>133</v>
      </c>
      <c r="B20" s="27">
        <v>4</v>
      </c>
      <c r="C20" s="27">
        <v>4</v>
      </c>
      <c r="D20" s="27">
        <v>4</v>
      </c>
      <c r="E20" s="27">
        <v>4</v>
      </c>
      <c r="F20" s="27">
        <v>4</v>
      </c>
      <c r="G20" s="27">
        <v>4</v>
      </c>
      <c r="H20" s="27">
        <v>4</v>
      </c>
      <c r="I20" s="27">
        <v>4</v>
      </c>
      <c r="J20" s="27">
        <v>4</v>
      </c>
      <c r="K20" s="27">
        <v>4</v>
      </c>
      <c r="L20" s="27">
        <v>4</v>
      </c>
      <c r="M20" s="27">
        <v>4</v>
      </c>
      <c r="N20" s="27">
        <v>4</v>
      </c>
      <c r="O20" s="27">
        <v>4</v>
      </c>
      <c r="P20" s="27">
        <v>4</v>
      </c>
      <c r="Q20" s="27">
        <v>4</v>
      </c>
      <c r="R20" s="27">
        <v>4</v>
      </c>
      <c r="S20" s="27">
        <v>4</v>
      </c>
      <c r="T20" s="27">
        <v>4</v>
      </c>
      <c r="U20" s="27">
        <v>4</v>
      </c>
      <c r="V20" s="27">
        <v>4</v>
      </c>
      <c r="W20" s="27">
        <v>4</v>
      </c>
      <c r="X20" s="27">
        <v>4</v>
      </c>
      <c r="Y20" s="27">
        <v>4</v>
      </c>
      <c r="Z20" s="27">
        <v>4</v>
      </c>
      <c r="AA20" s="27">
        <v>4</v>
      </c>
      <c r="AB20" s="27">
        <v>4</v>
      </c>
      <c r="AC20" s="27">
        <v>4</v>
      </c>
      <c r="AD20" s="27">
        <v>4</v>
      </c>
      <c r="AE20" s="27">
        <v>4</v>
      </c>
      <c r="AF20" s="27">
        <v>4</v>
      </c>
      <c r="AG20" s="27">
        <v>4</v>
      </c>
      <c r="AH20" s="27">
        <v>4</v>
      </c>
      <c r="AI20" s="27">
        <v>4</v>
      </c>
      <c r="AJ20" s="27">
        <v>4</v>
      </c>
      <c r="AK20" s="27">
        <v>4</v>
      </c>
      <c r="AL20" s="27">
        <v>4</v>
      </c>
      <c r="AM20" s="27">
        <v>4</v>
      </c>
      <c r="AN20" s="27">
        <v>4</v>
      </c>
      <c r="AO20" s="27">
        <v>4</v>
      </c>
      <c r="AP20" s="27">
        <v>4</v>
      </c>
      <c r="AQ20" s="27">
        <v>4</v>
      </c>
      <c r="AR20" s="28">
        <f t="shared" si="0"/>
        <v>168</v>
      </c>
    </row>
    <row r="21" spans="1:44" ht="21.95" customHeight="1" x14ac:dyDescent="0.25">
      <c r="A21" s="27" t="s">
        <v>134</v>
      </c>
      <c r="B21" s="27">
        <v>4</v>
      </c>
      <c r="C21" s="27">
        <v>4</v>
      </c>
      <c r="D21" s="27">
        <v>4</v>
      </c>
      <c r="E21" s="27">
        <v>4</v>
      </c>
      <c r="F21" s="27">
        <v>4</v>
      </c>
      <c r="G21" s="27">
        <v>4</v>
      </c>
      <c r="H21" s="27">
        <v>4</v>
      </c>
      <c r="I21" s="27">
        <v>4</v>
      </c>
      <c r="J21" s="27">
        <v>4</v>
      </c>
      <c r="K21" s="27">
        <v>4</v>
      </c>
      <c r="L21" s="27">
        <v>4</v>
      </c>
      <c r="M21" s="27">
        <v>4</v>
      </c>
      <c r="N21" s="27">
        <v>4</v>
      </c>
      <c r="O21" s="27">
        <v>4</v>
      </c>
      <c r="P21" s="27">
        <v>4</v>
      </c>
      <c r="Q21" s="27">
        <v>4</v>
      </c>
      <c r="R21" s="27">
        <v>4</v>
      </c>
      <c r="S21" s="27">
        <v>4</v>
      </c>
      <c r="T21" s="27">
        <v>4</v>
      </c>
      <c r="U21" s="27">
        <v>4</v>
      </c>
      <c r="V21" s="27">
        <v>4</v>
      </c>
      <c r="W21" s="27">
        <v>4</v>
      </c>
      <c r="X21" s="27">
        <v>4</v>
      </c>
      <c r="Y21" s="27">
        <v>4</v>
      </c>
      <c r="Z21" s="27">
        <v>4</v>
      </c>
      <c r="AA21" s="27">
        <v>4</v>
      </c>
      <c r="AB21" s="27">
        <v>4</v>
      </c>
      <c r="AC21" s="27">
        <v>4</v>
      </c>
      <c r="AD21" s="27">
        <v>4</v>
      </c>
      <c r="AE21" s="27">
        <v>4</v>
      </c>
      <c r="AF21" s="27">
        <v>4</v>
      </c>
      <c r="AG21" s="27">
        <v>4</v>
      </c>
      <c r="AH21" s="27">
        <v>4</v>
      </c>
      <c r="AI21" s="27">
        <v>4</v>
      </c>
      <c r="AJ21" s="27">
        <v>4</v>
      </c>
      <c r="AK21" s="27">
        <v>4</v>
      </c>
      <c r="AL21" s="27">
        <v>4</v>
      </c>
      <c r="AM21" s="27">
        <v>4</v>
      </c>
      <c r="AN21" s="27">
        <v>4</v>
      </c>
      <c r="AO21" s="27">
        <v>4</v>
      </c>
      <c r="AP21" s="27">
        <v>4</v>
      </c>
      <c r="AQ21" s="27">
        <v>4</v>
      </c>
      <c r="AR21" s="28">
        <f t="shared" si="0"/>
        <v>168</v>
      </c>
    </row>
    <row r="22" spans="1:44" ht="21.95" customHeight="1" x14ac:dyDescent="0.25">
      <c r="A22" s="27" t="s">
        <v>135</v>
      </c>
      <c r="B22" s="27">
        <v>4</v>
      </c>
      <c r="C22" s="27">
        <v>4</v>
      </c>
      <c r="D22" s="27">
        <v>4</v>
      </c>
      <c r="E22" s="27">
        <v>4</v>
      </c>
      <c r="F22" s="27">
        <v>4</v>
      </c>
      <c r="G22" s="27">
        <v>4</v>
      </c>
      <c r="H22" s="27">
        <v>4</v>
      </c>
      <c r="I22" s="27">
        <v>4</v>
      </c>
      <c r="J22" s="27">
        <v>4</v>
      </c>
      <c r="K22" s="27">
        <v>4</v>
      </c>
      <c r="L22" s="27">
        <v>4</v>
      </c>
      <c r="M22" s="27">
        <v>4</v>
      </c>
      <c r="N22" s="27">
        <v>4</v>
      </c>
      <c r="O22" s="27">
        <v>4</v>
      </c>
      <c r="P22" s="27">
        <v>4</v>
      </c>
      <c r="Q22" s="27">
        <v>4</v>
      </c>
      <c r="R22" s="27">
        <v>4</v>
      </c>
      <c r="S22" s="27">
        <v>4</v>
      </c>
      <c r="T22" s="27">
        <v>4</v>
      </c>
      <c r="U22" s="27">
        <v>4</v>
      </c>
      <c r="V22" s="27">
        <v>4</v>
      </c>
      <c r="W22" s="27">
        <v>4</v>
      </c>
      <c r="X22" s="27">
        <v>4</v>
      </c>
      <c r="Y22" s="27">
        <v>4</v>
      </c>
      <c r="Z22" s="27">
        <v>4</v>
      </c>
      <c r="AA22" s="27">
        <v>4</v>
      </c>
      <c r="AB22" s="27">
        <v>4</v>
      </c>
      <c r="AC22" s="27">
        <v>4</v>
      </c>
      <c r="AD22" s="27">
        <v>4</v>
      </c>
      <c r="AE22" s="27">
        <v>4</v>
      </c>
      <c r="AF22" s="27">
        <v>4</v>
      </c>
      <c r="AG22" s="27">
        <v>4</v>
      </c>
      <c r="AH22" s="27">
        <v>4</v>
      </c>
      <c r="AI22" s="27">
        <v>4</v>
      </c>
      <c r="AJ22" s="27">
        <v>4</v>
      </c>
      <c r="AK22" s="27">
        <v>4</v>
      </c>
      <c r="AL22" s="27">
        <v>4</v>
      </c>
      <c r="AM22" s="27">
        <v>4</v>
      </c>
      <c r="AN22" s="27">
        <v>4</v>
      </c>
      <c r="AO22" s="27">
        <v>4</v>
      </c>
      <c r="AP22" s="27">
        <v>4</v>
      </c>
      <c r="AQ22" s="27">
        <v>4</v>
      </c>
      <c r="AR22" s="28">
        <f t="shared" si="0"/>
        <v>168</v>
      </c>
    </row>
    <row r="23" spans="1:44" ht="21.95" customHeight="1" x14ac:dyDescent="0.25">
      <c r="A23" s="27" t="s">
        <v>136</v>
      </c>
      <c r="B23" s="27">
        <v>4</v>
      </c>
      <c r="C23" s="27">
        <v>4</v>
      </c>
      <c r="D23" s="27">
        <v>4</v>
      </c>
      <c r="E23" s="27">
        <v>4</v>
      </c>
      <c r="F23" s="27">
        <v>4</v>
      </c>
      <c r="G23" s="27">
        <v>4</v>
      </c>
      <c r="H23" s="27">
        <v>4</v>
      </c>
      <c r="I23" s="27">
        <v>4</v>
      </c>
      <c r="J23" s="27">
        <v>4</v>
      </c>
      <c r="K23" s="27">
        <v>4</v>
      </c>
      <c r="L23" s="27">
        <v>4</v>
      </c>
      <c r="M23" s="27">
        <v>4</v>
      </c>
      <c r="N23" s="27">
        <v>4</v>
      </c>
      <c r="O23" s="27">
        <v>4</v>
      </c>
      <c r="P23" s="27">
        <v>4</v>
      </c>
      <c r="Q23" s="27">
        <v>4</v>
      </c>
      <c r="R23" s="27">
        <v>4</v>
      </c>
      <c r="S23" s="27">
        <v>4</v>
      </c>
      <c r="T23" s="27">
        <v>4</v>
      </c>
      <c r="U23" s="27">
        <v>4</v>
      </c>
      <c r="V23" s="27">
        <v>4</v>
      </c>
      <c r="W23" s="27">
        <v>4</v>
      </c>
      <c r="X23" s="27">
        <v>4</v>
      </c>
      <c r="Y23" s="27">
        <v>4</v>
      </c>
      <c r="Z23" s="27">
        <v>4</v>
      </c>
      <c r="AA23" s="27">
        <v>4</v>
      </c>
      <c r="AB23" s="27">
        <v>4</v>
      </c>
      <c r="AC23" s="27">
        <v>4</v>
      </c>
      <c r="AD23" s="27">
        <v>4</v>
      </c>
      <c r="AE23" s="27">
        <v>4</v>
      </c>
      <c r="AF23" s="27">
        <v>4</v>
      </c>
      <c r="AG23" s="27">
        <v>4</v>
      </c>
      <c r="AH23" s="27">
        <v>4</v>
      </c>
      <c r="AI23" s="27">
        <v>4</v>
      </c>
      <c r="AJ23" s="27">
        <v>4</v>
      </c>
      <c r="AK23" s="27">
        <v>4</v>
      </c>
      <c r="AL23" s="27">
        <v>4</v>
      </c>
      <c r="AM23" s="27">
        <v>4</v>
      </c>
      <c r="AN23" s="27">
        <v>4</v>
      </c>
      <c r="AO23" s="27">
        <v>4</v>
      </c>
      <c r="AP23" s="27">
        <v>4</v>
      </c>
      <c r="AQ23" s="27">
        <v>4</v>
      </c>
      <c r="AR23" s="28">
        <f t="shared" si="0"/>
        <v>168</v>
      </c>
    </row>
    <row r="24" spans="1:44" ht="21.95" customHeight="1" x14ac:dyDescent="0.25">
      <c r="A24" s="27" t="s">
        <v>137</v>
      </c>
      <c r="B24" s="27">
        <v>4</v>
      </c>
      <c r="C24" s="27">
        <v>4</v>
      </c>
      <c r="D24" s="27">
        <v>4</v>
      </c>
      <c r="E24" s="27">
        <v>4</v>
      </c>
      <c r="F24" s="27">
        <v>4</v>
      </c>
      <c r="G24" s="27">
        <v>4</v>
      </c>
      <c r="H24" s="27">
        <v>4</v>
      </c>
      <c r="I24" s="27">
        <v>4</v>
      </c>
      <c r="J24" s="27">
        <v>4</v>
      </c>
      <c r="K24" s="27">
        <v>4</v>
      </c>
      <c r="L24" s="27">
        <v>4</v>
      </c>
      <c r="M24" s="27">
        <v>4</v>
      </c>
      <c r="N24" s="27">
        <v>4</v>
      </c>
      <c r="O24" s="27">
        <v>4</v>
      </c>
      <c r="P24" s="27">
        <v>4</v>
      </c>
      <c r="Q24" s="27">
        <v>4</v>
      </c>
      <c r="R24" s="27">
        <v>4</v>
      </c>
      <c r="S24" s="27">
        <v>4</v>
      </c>
      <c r="T24" s="27">
        <v>4</v>
      </c>
      <c r="U24" s="27">
        <v>4</v>
      </c>
      <c r="V24" s="27">
        <v>4</v>
      </c>
      <c r="W24" s="27">
        <v>4</v>
      </c>
      <c r="X24" s="27">
        <v>4</v>
      </c>
      <c r="Y24" s="27">
        <v>4</v>
      </c>
      <c r="Z24" s="27">
        <v>4</v>
      </c>
      <c r="AA24" s="27">
        <v>4</v>
      </c>
      <c r="AB24" s="27">
        <v>4</v>
      </c>
      <c r="AC24" s="27">
        <v>4</v>
      </c>
      <c r="AD24" s="27">
        <v>4</v>
      </c>
      <c r="AE24" s="27">
        <v>4</v>
      </c>
      <c r="AF24" s="27">
        <v>4</v>
      </c>
      <c r="AG24" s="27">
        <v>4</v>
      </c>
      <c r="AH24" s="27">
        <v>4</v>
      </c>
      <c r="AI24" s="27">
        <v>4</v>
      </c>
      <c r="AJ24" s="27">
        <v>4</v>
      </c>
      <c r="AK24" s="27">
        <v>4</v>
      </c>
      <c r="AL24" s="27">
        <v>4</v>
      </c>
      <c r="AM24" s="27">
        <v>4</v>
      </c>
      <c r="AN24" s="27">
        <v>4</v>
      </c>
      <c r="AO24" s="27">
        <v>4</v>
      </c>
      <c r="AP24" s="27">
        <v>4</v>
      </c>
      <c r="AQ24" s="27">
        <v>4</v>
      </c>
      <c r="AR24" s="28">
        <f t="shared" si="0"/>
        <v>168</v>
      </c>
    </row>
    <row r="25" spans="1:44" ht="21.95" customHeight="1" x14ac:dyDescent="0.25">
      <c r="A25" s="27" t="s">
        <v>138</v>
      </c>
      <c r="B25" s="27">
        <v>4</v>
      </c>
      <c r="C25" s="27">
        <v>4</v>
      </c>
      <c r="D25" s="27">
        <v>4</v>
      </c>
      <c r="E25" s="27">
        <v>4</v>
      </c>
      <c r="F25" s="27">
        <v>4</v>
      </c>
      <c r="G25" s="27">
        <v>4</v>
      </c>
      <c r="H25" s="27">
        <v>4</v>
      </c>
      <c r="I25" s="27">
        <v>4</v>
      </c>
      <c r="J25" s="27">
        <v>4</v>
      </c>
      <c r="K25" s="27">
        <v>4</v>
      </c>
      <c r="L25" s="27">
        <v>4</v>
      </c>
      <c r="M25" s="27">
        <v>4</v>
      </c>
      <c r="N25" s="27">
        <v>4</v>
      </c>
      <c r="O25" s="27">
        <v>4</v>
      </c>
      <c r="P25" s="27">
        <v>4</v>
      </c>
      <c r="Q25" s="27">
        <v>4</v>
      </c>
      <c r="R25" s="27">
        <v>4</v>
      </c>
      <c r="S25" s="27">
        <v>4</v>
      </c>
      <c r="T25" s="27">
        <v>4</v>
      </c>
      <c r="U25" s="27">
        <v>4</v>
      </c>
      <c r="V25" s="27">
        <v>4</v>
      </c>
      <c r="W25" s="27">
        <v>4</v>
      </c>
      <c r="X25" s="27">
        <v>4</v>
      </c>
      <c r="Y25" s="27">
        <v>4</v>
      </c>
      <c r="Z25" s="27">
        <v>4</v>
      </c>
      <c r="AA25" s="27">
        <v>4</v>
      </c>
      <c r="AB25" s="27">
        <v>4</v>
      </c>
      <c r="AC25" s="27">
        <v>4</v>
      </c>
      <c r="AD25" s="27">
        <v>4</v>
      </c>
      <c r="AE25" s="27">
        <v>4</v>
      </c>
      <c r="AF25" s="27">
        <v>4</v>
      </c>
      <c r="AG25" s="27">
        <v>4</v>
      </c>
      <c r="AH25" s="27">
        <v>4</v>
      </c>
      <c r="AI25" s="27">
        <v>4</v>
      </c>
      <c r="AJ25" s="27">
        <v>4</v>
      </c>
      <c r="AK25" s="27">
        <v>4</v>
      </c>
      <c r="AL25" s="27">
        <v>4</v>
      </c>
      <c r="AM25" s="27">
        <v>4</v>
      </c>
      <c r="AN25" s="27">
        <v>4</v>
      </c>
      <c r="AO25" s="27">
        <v>4</v>
      </c>
      <c r="AP25" s="27">
        <v>4</v>
      </c>
      <c r="AQ25" s="27">
        <v>4</v>
      </c>
      <c r="AR25" s="28">
        <f t="shared" si="0"/>
        <v>168</v>
      </c>
    </row>
    <row r="26" spans="1:44" ht="21.95" customHeight="1" x14ac:dyDescent="0.25">
      <c r="A26" s="27" t="s">
        <v>139</v>
      </c>
      <c r="B26" s="27">
        <v>4</v>
      </c>
      <c r="C26" s="27">
        <v>4</v>
      </c>
      <c r="D26" s="27">
        <v>4</v>
      </c>
      <c r="E26" s="27">
        <v>4</v>
      </c>
      <c r="F26" s="27">
        <v>4</v>
      </c>
      <c r="G26" s="27">
        <v>4</v>
      </c>
      <c r="H26" s="27">
        <v>4</v>
      </c>
      <c r="I26" s="27">
        <v>4</v>
      </c>
      <c r="J26" s="27">
        <v>4</v>
      </c>
      <c r="K26" s="27">
        <v>4</v>
      </c>
      <c r="L26" s="27">
        <v>4</v>
      </c>
      <c r="M26" s="27">
        <v>4</v>
      </c>
      <c r="N26" s="27">
        <v>4</v>
      </c>
      <c r="O26" s="27">
        <v>4</v>
      </c>
      <c r="P26" s="27">
        <v>4</v>
      </c>
      <c r="Q26" s="27">
        <v>4</v>
      </c>
      <c r="R26" s="27">
        <v>4</v>
      </c>
      <c r="S26" s="27">
        <v>4</v>
      </c>
      <c r="T26" s="27">
        <v>4</v>
      </c>
      <c r="U26" s="27">
        <v>4</v>
      </c>
      <c r="V26" s="27">
        <v>4</v>
      </c>
      <c r="W26" s="27">
        <v>4</v>
      </c>
      <c r="X26" s="27">
        <v>4</v>
      </c>
      <c r="Y26" s="27">
        <v>4</v>
      </c>
      <c r="Z26" s="27">
        <v>4</v>
      </c>
      <c r="AA26" s="27">
        <v>4</v>
      </c>
      <c r="AB26" s="27">
        <v>4</v>
      </c>
      <c r="AC26" s="27">
        <v>4</v>
      </c>
      <c r="AD26" s="27">
        <v>4</v>
      </c>
      <c r="AE26" s="27">
        <v>4</v>
      </c>
      <c r="AF26" s="27">
        <v>4</v>
      </c>
      <c r="AG26" s="27">
        <v>4</v>
      </c>
      <c r="AH26" s="27">
        <v>4</v>
      </c>
      <c r="AI26" s="27">
        <v>4</v>
      </c>
      <c r="AJ26" s="27">
        <v>4</v>
      </c>
      <c r="AK26" s="27">
        <v>4</v>
      </c>
      <c r="AL26" s="27">
        <v>4</v>
      </c>
      <c r="AM26" s="27">
        <v>4</v>
      </c>
      <c r="AN26" s="27">
        <v>4</v>
      </c>
      <c r="AO26" s="27">
        <v>4</v>
      </c>
      <c r="AP26" s="27">
        <v>4</v>
      </c>
      <c r="AQ26" s="27">
        <v>4</v>
      </c>
      <c r="AR26" s="28">
        <f t="shared" si="0"/>
        <v>168</v>
      </c>
    </row>
    <row r="27" spans="1:44" ht="21.95" customHeight="1" x14ac:dyDescent="0.25">
      <c r="A27" s="27" t="s">
        <v>140</v>
      </c>
      <c r="B27" s="27">
        <v>4</v>
      </c>
      <c r="C27" s="27">
        <v>4</v>
      </c>
      <c r="D27" s="27">
        <v>4</v>
      </c>
      <c r="E27" s="27">
        <v>4</v>
      </c>
      <c r="F27" s="27">
        <v>4</v>
      </c>
      <c r="G27" s="27">
        <v>4</v>
      </c>
      <c r="H27" s="27">
        <v>4</v>
      </c>
      <c r="I27" s="27">
        <v>4</v>
      </c>
      <c r="J27" s="27">
        <v>4</v>
      </c>
      <c r="K27" s="27">
        <v>4</v>
      </c>
      <c r="L27" s="27">
        <v>4</v>
      </c>
      <c r="M27" s="27">
        <v>4</v>
      </c>
      <c r="N27" s="27">
        <v>4</v>
      </c>
      <c r="O27" s="27">
        <v>4</v>
      </c>
      <c r="P27" s="27">
        <v>4</v>
      </c>
      <c r="Q27" s="27">
        <v>4</v>
      </c>
      <c r="R27" s="27">
        <v>4</v>
      </c>
      <c r="S27" s="27">
        <v>4</v>
      </c>
      <c r="T27" s="27">
        <v>4</v>
      </c>
      <c r="U27" s="27">
        <v>4</v>
      </c>
      <c r="V27" s="27">
        <v>4</v>
      </c>
      <c r="W27" s="27">
        <v>4</v>
      </c>
      <c r="X27" s="27">
        <v>4</v>
      </c>
      <c r="Y27" s="27">
        <v>4</v>
      </c>
      <c r="Z27" s="27">
        <v>4</v>
      </c>
      <c r="AA27" s="27">
        <v>4</v>
      </c>
      <c r="AB27" s="27">
        <v>4</v>
      </c>
      <c r="AC27" s="27">
        <v>4</v>
      </c>
      <c r="AD27" s="27">
        <v>4</v>
      </c>
      <c r="AE27" s="27">
        <v>4</v>
      </c>
      <c r="AF27" s="27">
        <v>4</v>
      </c>
      <c r="AG27" s="27">
        <v>4</v>
      </c>
      <c r="AH27" s="27">
        <v>4</v>
      </c>
      <c r="AI27" s="27">
        <v>4</v>
      </c>
      <c r="AJ27" s="27">
        <v>4</v>
      </c>
      <c r="AK27" s="27">
        <v>4</v>
      </c>
      <c r="AL27" s="27">
        <v>4</v>
      </c>
      <c r="AM27" s="27">
        <v>4</v>
      </c>
      <c r="AN27" s="27">
        <v>4</v>
      </c>
      <c r="AO27" s="27">
        <v>4</v>
      </c>
      <c r="AP27" s="27">
        <v>4</v>
      </c>
      <c r="AQ27" s="27">
        <v>4</v>
      </c>
      <c r="AR27" s="28">
        <f t="shared" si="0"/>
        <v>168</v>
      </c>
    </row>
    <row r="28" spans="1:44" ht="21.95" customHeight="1" x14ac:dyDescent="0.25">
      <c r="A28" s="27" t="s">
        <v>141</v>
      </c>
      <c r="B28" s="27">
        <v>4</v>
      </c>
      <c r="C28" s="27">
        <v>4</v>
      </c>
      <c r="D28" s="27">
        <v>4</v>
      </c>
      <c r="E28" s="27">
        <v>4</v>
      </c>
      <c r="F28" s="27">
        <v>4</v>
      </c>
      <c r="G28" s="27">
        <v>4</v>
      </c>
      <c r="H28" s="27">
        <v>4</v>
      </c>
      <c r="I28" s="27">
        <v>4</v>
      </c>
      <c r="J28" s="27">
        <v>4</v>
      </c>
      <c r="K28" s="27">
        <v>4</v>
      </c>
      <c r="L28" s="27">
        <v>4</v>
      </c>
      <c r="M28" s="27">
        <v>4</v>
      </c>
      <c r="N28" s="27">
        <v>4</v>
      </c>
      <c r="O28" s="27">
        <v>4</v>
      </c>
      <c r="P28" s="27">
        <v>4</v>
      </c>
      <c r="Q28" s="27">
        <v>4</v>
      </c>
      <c r="R28" s="27">
        <v>4</v>
      </c>
      <c r="S28" s="27">
        <v>4</v>
      </c>
      <c r="T28" s="27">
        <v>4</v>
      </c>
      <c r="U28" s="27">
        <v>4</v>
      </c>
      <c r="V28" s="27">
        <v>4</v>
      </c>
      <c r="W28" s="27">
        <v>4</v>
      </c>
      <c r="X28" s="27">
        <v>4</v>
      </c>
      <c r="Y28" s="27">
        <v>4</v>
      </c>
      <c r="Z28" s="27">
        <v>4</v>
      </c>
      <c r="AA28" s="27">
        <v>4</v>
      </c>
      <c r="AB28" s="27">
        <v>4</v>
      </c>
      <c r="AC28" s="27">
        <v>4</v>
      </c>
      <c r="AD28" s="27">
        <v>4</v>
      </c>
      <c r="AE28" s="27">
        <v>4</v>
      </c>
      <c r="AF28" s="27">
        <v>4</v>
      </c>
      <c r="AG28" s="27">
        <v>4</v>
      </c>
      <c r="AH28" s="27">
        <v>4</v>
      </c>
      <c r="AI28" s="27">
        <v>4</v>
      </c>
      <c r="AJ28" s="27">
        <v>4</v>
      </c>
      <c r="AK28" s="27">
        <v>4</v>
      </c>
      <c r="AL28" s="27">
        <v>4</v>
      </c>
      <c r="AM28" s="27">
        <v>4</v>
      </c>
      <c r="AN28" s="27">
        <v>4</v>
      </c>
      <c r="AO28" s="27">
        <v>4</v>
      </c>
      <c r="AP28" s="27">
        <v>4</v>
      </c>
      <c r="AQ28" s="27">
        <v>4</v>
      </c>
      <c r="AR28" s="28">
        <f t="shared" si="0"/>
        <v>168</v>
      </c>
    </row>
    <row r="29" spans="1:44" ht="21.95" customHeight="1" x14ac:dyDescent="0.25">
      <c r="A29" s="27" t="s">
        <v>142</v>
      </c>
      <c r="B29" s="27">
        <v>4</v>
      </c>
      <c r="C29" s="27">
        <v>4</v>
      </c>
      <c r="D29" s="27">
        <v>4</v>
      </c>
      <c r="E29" s="27">
        <v>4</v>
      </c>
      <c r="F29" s="27">
        <v>4</v>
      </c>
      <c r="G29" s="27">
        <v>4</v>
      </c>
      <c r="H29" s="27">
        <v>4</v>
      </c>
      <c r="I29" s="27">
        <v>4</v>
      </c>
      <c r="J29" s="27">
        <v>4</v>
      </c>
      <c r="K29" s="27">
        <v>4</v>
      </c>
      <c r="L29" s="27">
        <v>4</v>
      </c>
      <c r="M29" s="27">
        <v>4</v>
      </c>
      <c r="N29" s="27">
        <v>4</v>
      </c>
      <c r="O29" s="27">
        <v>4</v>
      </c>
      <c r="P29" s="27">
        <v>4</v>
      </c>
      <c r="Q29" s="27">
        <v>4</v>
      </c>
      <c r="R29" s="27">
        <v>4</v>
      </c>
      <c r="S29" s="27">
        <v>4</v>
      </c>
      <c r="T29" s="27">
        <v>4</v>
      </c>
      <c r="U29" s="27">
        <v>4</v>
      </c>
      <c r="V29" s="27">
        <v>4</v>
      </c>
      <c r="W29" s="27">
        <v>4</v>
      </c>
      <c r="X29" s="27">
        <v>4</v>
      </c>
      <c r="Y29" s="27">
        <v>4</v>
      </c>
      <c r="Z29" s="27">
        <v>4</v>
      </c>
      <c r="AA29" s="27">
        <v>4</v>
      </c>
      <c r="AB29" s="27">
        <v>4</v>
      </c>
      <c r="AC29" s="27">
        <v>4</v>
      </c>
      <c r="AD29" s="27">
        <v>4</v>
      </c>
      <c r="AE29" s="27">
        <v>4</v>
      </c>
      <c r="AF29" s="27">
        <v>4</v>
      </c>
      <c r="AG29" s="27">
        <v>4</v>
      </c>
      <c r="AH29" s="27">
        <v>4</v>
      </c>
      <c r="AI29" s="27">
        <v>4</v>
      </c>
      <c r="AJ29" s="27">
        <v>4</v>
      </c>
      <c r="AK29" s="27">
        <v>4</v>
      </c>
      <c r="AL29" s="27">
        <v>4</v>
      </c>
      <c r="AM29" s="27">
        <v>4</v>
      </c>
      <c r="AN29" s="27">
        <v>4</v>
      </c>
      <c r="AO29" s="27">
        <v>4</v>
      </c>
      <c r="AP29" s="27">
        <v>4</v>
      </c>
      <c r="AQ29" s="27">
        <v>4</v>
      </c>
      <c r="AR29" s="28">
        <f t="shared" si="0"/>
        <v>168</v>
      </c>
    </row>
    <row r="30" spans="1:44" ht="21.95" customHeight="1" x14ac:dyDescent="0.25">
      <c r="A30" s="27" t="s">
        <v>143</v>
      </c>
      <c r="B30" s="27">
        <v>4</v>
      </c>
      <c r="C30" s="27">
        <v>4</v>
      </c>
      <c r="D30" s="27">
        <v>4</v>
      </c>
      <c r="E30" s="27">
        <v>4</v>
      </c>
      <c r="F30" s="27">
        <v>4</v>
      </c>
      <c r="G30" s="27">
        <v>4</v>
      </c>
      <c r="H30" s="27">
        <v>4</v>
      </c>
      <c r="I30" s="27">
        <v>4</v>
      </c>
      <c r="J30" s="27">
        <v>4</v>
      </c>
      <c r="K30" s="27">
        <v>4</v>
      </c>
      <c r="L30" s="27">
        <v>4</v>
      </c>
      <c r="M30" s="27">
        <v>4</v>
      </c>
      <c r="N30" s="27">
        <v>4</v>
      </c>
      <c r="O30" s="27">
        <v>4</v>
      </c>
      <c r="P30" s="27">
        <v>4</v>
      </c>
      <c r="Q30" s="27">
        <v>4</v>
      </c>
      <c r="R30" s="27">
        <v>4</v>
      </c>
      <c r="S30" s="27">
        <v>4</v>
      </c>
      <c r="T30" s="27">
        <v>4</v>
      </c>
      <c r="U30" s="27">
        <v>4</v>
      </c>
      <c r="V30" s="27">
        <v>4</v>
      </c>
      <c r="W30" s="27">
        <v>4</v>
      </c>
      <c r="X30" s="27">
        <v>4</v>
      </c>
      <c r="Y30" s="27">
        <v>4</v>
      </c>
      <c r="Z30" s="27">
        <v>4</v>
      </c>
      <c r="AA30" s="27">
        <v>4</v>
      </c>
      <c r="AB30" s="27">
        <v>4</v>
      </c>
      <c r="AC30" s="27">
        <v>4</v>
      </c>
      <c r="AD30" s="27">
        <v>4</v>
      </c>
      <c r="AE30" s="27">
        <v>4</v>
      </c>
      <c r="AF30" s="27">
        <v>4</v>
      </c>
      <c r="AG30" s="27">
        <v>4</v>
      </c>
      <c r="AH30" s="27">
        <v>4</v>
      </c>
      <c r="AI30" s="27">
        <v>4</v>
      </c>
      <c r="AJ30" s="27">
        <v>4</v>
      </c>
      <c r="AK30" s="27">
        <v>4</v>
      </c>
      <c r="AL30" s="27">
        <v>4</v>
      </c>
      <c r="AM30" s="27">
        <v>4</v>
      </c>
      <c r="AN30" s="27">
        <v>4</v>
      </c>
      <c r="AO30" s="27">
        <v>4</v>
      </c>
      <c r="AP30" s="27">
        <v>4</v>
      </c>
      <c r="AQ30" s="27">
        <v>4</v>
      </c>
      <c r="AR30" s="28">
        <f t="shared" si="0"/>
        <v>168</v>
      </c>
    </row>
    <row r="31" spans="1:44" ht="21.95" customHeight="1" x14ac:dyDescent="0.25">
      <c r="A31" s="27" t="s">
        <v>144</v>
      </c>
      <c r="B31" s="27">
        <v>4</v>
      </c>
      <c r="C31" s="27">
        <v>4</v>
      </c>
      <c r="D31" s="27">
        <v>4</v>
      </c>
      <c r="E31" s="27">
        <v>4</v>
      </c>
      <c r="F31" s="27">
        <v>4</v>
      </c>
      <c r="G31" s="27">
        <v>4</v>
      </c>
      <c r="H31" s="27">
        <v>4</v>
      </c>
      <c r="I31" s="27">
        <v>4</v>
      </c>
      <c r="J31" s="27">
        <v>4</v>
      </c>
      <c r="K31" s="27">
        <v>4</v>
      </c>
      <c r="L31" s="27">
        <v>4</v>
      </c>
      <c r="M31" s="27">
        <v>4</v>
      </c>
      <c r="N31" s="27">
        <v>4</v>
      </c>
      <c r="O31" s="27">
        <v>4</v>
      </c>
      <c r="P31" s="27">
        <v>4</v>
      </c>
      <c r="Q31" s="27">
        <v>4</v>
      </c>
      <c r="R31" s="27">
        <v>4</v>
      </c>
      <c r="S31" s="27">
        <v>4</v>
      </c>
      <c r="T31" s="27">
        <v>4</v>
      </c>
      <c r="U31" s="27">
        <v>4</v>
      </c>
      <c r="V31" s="27">
        <v>4</v>
      </c>
      <c r="W31" s="27">
        <v>4</v>
      </c>
      <c r="X31" s="27">
        <v>4</v>
      </c>
      <c r="Y31" s="27">
        <v>4</v>
      </c>
      <c r="Z31" s="27">
        <v>4</v>
      </c>
      <c r="AA31" s="27">
        <v>4</v>
      </c>
      <c r="AB31" s="27">
        <v>4</v>
      </c>
      <c r="AC31" s="27">
        <v>4</v>
      </c>
      <c r="AD31" s="27">
        <v>4</v>
      </c>
      <c r="AE31" s="27">
        <v>4</v>
      </c>
      <c r="AF31" s="27">
        <v>4</v>
      </c>
      <c r="AG31" s="27">
        <v>4</v>
      </c>
      <c r="AH31" s="27">
        <v>4</v>
      </c>
      <c r="AI31" s="27">
        <v>4</v>
      </c>
      <c r="AJ31" s="27">
        <v>4</v>
      </c>
      <c r="AK31" s="27">
        <v>4</v>
      </c>
      <c r="AL31" s="27">
        <v>4</v>
      </c>
      <c r="AM31" s="27">
        <v>4</v>
      </c>
      <c r="AN31" s="27">
        <v>4</v>
      </c>
      <c r="AO31" s="27">
        <v>4</v>
      </c>
      <c r="AP31" s="27">
        <v>4</v>
      </c>
      <c r="AQ31" s="27">
        <v>4</v>
      </c>
      <c r="AR31" s="28">
        <f t="shared" si="0"/>
        <v>168</v>
      </c>
    </row>
    <row r="32" spans="1:44" ht="21.95" customHeight="1" x14ac:dyDescent="0.25">
      <c r="A32" s="27" t="s">
        <v>145</v>
      </c>
      <c r="B32" s="27">
        <v>4</v>
      </c>
      <c r="C32" s="27">
        <v>4</v>
      </c>
      <c r="D32" s="27">
        <v>4</v>
      </c>
      <c r="E32" s="27">
        <v>4</v>
      </c>
      <c r="F32" s="27">
        <v>4</v>
      </c>
      <c r="G32" s="27">
        <v>4</v>
      </c>
      <c r="H32" s="27">
        <v>4</v>
      </c>
      <c r="I32" s="27">
        <v>4</v>
      </c>
      <c r="J32" s="27">
        <v>4</v>
      </c>
      <c r="K32" s="27">
        <v>4</v>
      </c>
      <c r="L32" s="27">
        <v>4</v>
      </c>
      <c r="M32" s="27">
        <v>4</v>
      </c>
      <c r="N32" s="27">
        <v>4</v>
      </c>
      <c r="O32" s="27">
        <v>4</v>
      </c>
      <c r="P32" s="27">
        <v>4</v>
      </c>
      <c r="Q32" s="27">
        <v>4</v>
      </c>
      <c r="R32" s="27">
        <v>4</v>
      </c>
      <c r="S32" s="27">
        <v>4</v>
      </c>
      <c r="T32" s="27">
        <v>4</v>
      </c>
      <c r="U32" s="27">
        <v>4</v>
      </c>
      <c r="V32" s="27">
        <v>4</v>
      </c>
      <c r="W32" s="27">
        <v>4</v>
      </c>
      <c r="X32" s="27">
        <v>4</v>
      </c>
      <c r="Y32" s="27">
        <v>4</v>
      </c>
      <c r="Z32" s="27">
        <v>4</v>
      </c>
      <c r="AA32" s="27">
        <v>4</v>
      </c>
      <c r="AB32" s="27">
        <v>4</v>
      </c>
      <c r="AC32" s="27">
        <v>4</v>
      </c>
      <c r="AD32" s="27">
        <v>4</v>
      </c>
      <c r="AE32" s="27">
        <v>4</v>
      </c>
      <c r="AF32" s="27">
        <v>4</v>
      </c>
      <c r="AG32" s="27">
        <v>4</v>
      </c>
      <c r="AH32" s="27">
        <v>4</v>
      </c>
      <c r="AI32" s="27">
        <v>4</v>
      </c>
      <c r="AJ32" s="27">
        <v>4</v>
      </c>
      <c r="AK32" s="27">
        <v>4</v>
      </c>
      <c r="AL32" s="27">
        <v>4</v>
      </c>
      <c r="AM32" s="27">
        <v>4</v>
      </c>
      <c r="AN32" s="27">
        <v>4</v>
      </c>
      <c r="AO32" s="27">
        <v>4</v>
      </c>
      <c r="AP32" s="27">
        <v>4</v>
      </c>
      <c r="AQ32" s="27">
        <v>4</v>
      </c>
      <c r="AR32" s="28">
        <f t="shared" si="0"/>
        <v>168</v>
      </c>
    </row>
    <row r="33" spans="1:44" ht="21.95" customHeight="1" x14ac:dyDescent="0.25">
      <c r="A33" s="27" t="s">
        <v>146</v>
      </c>
      <c r="B33" s="27">
        <v>4</v>
      </c>
      <c r="C33" s="27">
        <v>4</v>
      </c>
      <c r="D33" s="27">
        <v>4</v>
      </c>
      <c r="E33" s="27">
        <v>4</v>
      </c>
      <c r="F33" s="27">
        <v>4</v>
      </c>
      <c r="G33" s="27">
        <v>4</v>
      </c>
      <c r="H33" s="27">
        <v>4</v>
      </c>
      <c r="I33" s="27">
        <v>4</v>
      </c>
      <c r="J33" s="27">
        <v>4</v>
      </c>
      <c r="K33" s="27">
        <v>4</v>
      </c>
      <c r="L33" s="27">
        <v>4</v>
      </c>
      <c r="M33" s="27">
        <v>4</v>
      </c>
      <c r="N33" s="27">
        <v>4</v>
      </c>
      <c r="O33" s="27">
        <v>4</v>
      </c>
      <c r="P33" s="27">
        <v>4</v>
      </c>
      <c r="Q33" s="27">
        <v>4</v>
      </c>
      <c r="R33" s="27">
        <v>4</v>
      </c>
      <c r="S33" s="27">
        <v>4</v>
      </c>
      <c r="T33" s="27">
        <v>4</v>
      </c>
      <c r="U33" s="27">
        <v>4</v>
      </c>
      <c r="V33" s="27">
        <v>4</v>
      </c>
      <c r="W33" s="27">
        <v>4</v>
      </c>
      <c r="X33" s="27">
        <v>4</v>
      </c>
      <c r="Y33" s="27">
        <v>4</v>
      </c>
      <c r="Z33" s="27">
        <v>4</v>
      </c>
      <c r="AA33" s="27">
        <v>4</v>
      </c>
      <c r="AB33" s="27">
        <v>4</v>
      </c>
      <c r="AC33" s="27">
        <v>4</v>
      </c>
      <c r="AD33" s="27">
        <v>4</v>
      </c>
      <c r="AE33" s="27">
        <v>4</v>
      </c>
      <c r="AF33" s="27">
        <v>4</v>
      </c>
      <c r="AG33" s="27">
        <v>4</v>
      </c>
      <c r="AH33" s="27">
        <v>4</v>
      </c>
      <c r="AI33" s="27">
        <v>4</v>
      </c>
      <c r="AJ33" s="27">
        <v>4</v>
      </c>
      <c r="AK33" s="27">
        <v>4</v>
      </c>
      <c r="AL33" s="27">
        <v>4</v>
      </c>
      <c r="AM33" s="27">
        <v>4</v>
      </c>
      <c r="AN33" s="27">
        <v>4</v>
      </c>
      <c r="AO33" s="27">
        <v>4</v>
      </c>
      <c r="AP33" s="27">
        <v>4</v>
      </c>
      <c r="AQ33" s="27">
        <v>4</v>
      </c>
      <c r="AR33" s="28">
        <f t="shared" si="0"/>
        <v>168</v>
      </c>
    </row>
    <row r="34" spans="1:44" ht="15" customHeight="1" x14ac:dyDescent="0.25">
      <c r="A34" s="1"/>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3"/>
    </row>
    <row r="35" spans="1:44" ht="21.95" customHeight="1" x14ac:dyDescent="0.25">
      <c r="A35" s="29" t="s">
        <v>147</v>
      </c>
      <c r="B35" s="30">
        <f t="shared" ref="B35:AR35" si="1">VAR(B4:B33)</f>
        <v>6.4367816091954022E-2</v>
      </c>
      <c r="C35" s="30">
        <f t="shared" si="1"/>
        <v>6.4367816091954022E-2</v>
      </c>
      <c r="D35" s="30">
        <f t="shared" si="1"/>
        <v>6.4367816091954022E-2</v>
      </c>
      <c r="E35" s="30">
        <f t="shared" si="1"/>
        <v>6.4367816091954022E-2</v>
      </c>
      <c r="F35" s="30">
        <f t="shared" si="1"/>
        <v>6.4367816091954022E-2</v>
      </c>
      <c r="G35" s="30">
        <f t="shared" si="1"/>
        <v>3.3333333333333291E-2</v>
      </c>
      <c r="H35" s="30">
        <f t="shared" si="1"/>
        <v>3.3333333333333291E-2</v>
      </c>
      <c r="I35" s="30">
        <f t="shared" si="1"/>
        <v>3.3333333333333291E-2</v>
      </c>
      <c r="J35" s="30">
        <f t="shared" si="1"/>
        <v>3.3333333333333291E-2</v>
      </c>
      <c r="K35" s="30">
        <f t="shared" si="1"/>
        <v>3.3333333333333291E-2</v>
      </c>
      <c r="L35" s="30">
        <f t="shared" si="1"/>
        <v>3.3333333333333291E-2</v>
      </c>
      <c r="M35" s="30">
        <f t="shared" si="1"/>
        <v>3.3333333333333291E-2</v>
      </c>
      <c r="N35" s="30">
        <f t="shared" si="1"/>
        <v>3.3333333333333291E-2</v>
      </c>
      <c r="O35" s="30">
        <f t="shared" si="1"/>
        <v>3.3333333333333291E-2</v>
      </c>
      <c r="P35" s="30">
        <f t="shared" si="1"/>
        <v>3.3333333333333291E-2</v>
      </c>
      <c r="Q35" s="30">
        <f t="shared" si="1"/>
        <v>3.3333333333333291E-2</v>
      </c>
      <c r="R35" s="30">
        <f t="shared" si="1"/>
        <v>3.3333333333333291E-2</v>
      </c>
      <c r="S35" s="30">
        <f t="shared" si="1"/>
        <v>3.3333333333333291E-2</v>
      </c>
      <c r="T35" s="30">
        <f t="shared" si="1"/>
        <v>3.3333333333333291E-2</v>
      </c>
      <c r="U35" s="30">
        <f t="shared" si="1"/>
        <v>3.3333333333333291E-2</v>
      </c>
      <c r="V35" s="30">
        <f t="shared" si="1"/>
        <v>3.3333333333333291E-2</v>
      </c>
      <c r="W35" s="30">
        <f t="shared" si="1"/>
        <v>3.3333333333333291E-2</v>
      </c>
      <c r="X35" s="30">
        <f t="shared" si="1"/>
        <v>3.3333333333333291E-2</v>
      </c>
      <c r="Y35" s="30">
        <f t="shared" si="1"/>
        <v>3.3333333333333291E-2</v>
      </c>
      <c r="Z35" s="30">
        <f t="shared" si="1"/>
        <v>3.3333333333333291E-2</v>
      </c>
      <c r="AA35" s="30">
        <f t="shared" si="1"/>
        <v>3.3333333333333291E-2</v>
      </c>
      <c r="AB35" s="30">
        <f t="shared" si="1"/>
        <v>3.3333333333333291E-2</v>
      </c>
      <c r="AC35" s="30">
        <f t="shared" si="1"/>
        <v>3.3333333333333291E-2</v>
      </c>
      <c r="AD35" s="30">
        <f t="shared" si="1"/>
        <v>3.3333333333333291E-2</v>
      </c>
      <c r="AE35" s="30">
        <f t="shared" si="1"/>
        <v>3.3333333333333291E-2</v>
      </c>
      <c r="AF35" s="30">
        <f t="shared" si="1"/>
        <v>3.3333333333333291E-2</v>
      </c>
      <c r="AG35" s="30">
        <f t="shared" si="1"/>
        <v>3.3333333333333291E-2</v>
      </c>
      <c r="AH35" s="30">
        <f t="shared" si="1"/>
        <v>3.3333333333333291E-2</v>
      </c>
      <c r="AI35" s="30">
        <f t="shared" si="1"/>
        <v>3.3333333333333291E-2</v>
      </c>
      <c r="AJ35" s="30">
        <f t="shared" si="1"/>
        <v>3.3333333333333291E-2</v>
      </c>
      <c r="AK35" s="30">
        <f t="shared" si="1"/>
        <v>3.3333333333333291E-2</v>
      </c>
      <c r="AL35" s="30">
        <f t="shared" si="1"/>
        <v>3.3333333333333291E-2</v>
      </c>
      <c r="AM35" s="30">
        <f t="shared" si="1"/>
        <v>3.3333333333333291E-2</v>
      </c>
      <c r="AN35" s="30">
        <f t="shared" si="1"/>
        <v>3.3333333333333291E-2</v>
      </c>
      <c r="AO35" s="30">
        <f t="shared" si="1"/>
        <v>3.3333333333333291E-2</v>
      </c>
      <c r="AP35" s="30">
        <f t="shared" si="1"/>
        <v>3.3333333333333291E-2</v>
      </c>
      <c r="AQ35" s="30">
        <f t="shared" si="1"/>
        <v>3.3333333333333291E-2</v>
      </c>
      <c r="AR35" s="31">
        <f t="shared" si="1"/>
        <v>59.150574712643582</v>
      </c>
    </row>
    <row r="37" spans="1:44" ht="21.95" customHeight="1" x14ac:dyDescent="0.25">
      <c r="A37" s="25" t="s">
        <v>148</v>
      </c>
      <c r="B37" s="32">
        <v>42</v>
      </c>
    </row>
    <row r="38" spans="1:44" ht="21.95" customHeight="1" x14ac:dyDescent="0.25">
      <c r="A38" s="25" t="s">
        <v>149</v>
      </c>
      <c r="B38" s="33">
        <f>SUM(B35:AQ35)</f>
        <v>1.5551724137931011</v>
      </c>
    </row>
    <row r="39" spans="1:44" ht="21.95" customHeight="1" x14ac:dyDescent="0.25">
      <c r="A39" s="25" t="s">
        <v>150</v>
      </c>
      <c r="B39" s="33">
        <f>AR35</f>
        <v>59.150574712643582</v>
      </c>
    </row>
    <row r="40" spans="1:44" ht="21.95" customHeight="1" x14ac:dyDescent="0.25">
      <c r="A40" s="23" t="s">
        <v>151</v>
      </c>
      <c r="B40" s="34">
        <f>(B37/(B37-1))*(1-B38/B39)</f>
        <v>0.99745722666608527</v>
      </c>
    </row>
    <row r="41" spans="1:44" ht="21.95" customHeight="1" x14ac:dyDescent="0.25">
      <c r="A41" s="23" t="s">
        <v>7</v>
      </c>
      <c r="B41" s="35" t="str">
        <f>IF(B40&gt;=0.9,"Excelente",IF(B40&gt;=0.8,"Bueno",IF(B40&gt;=0.7,"Aceptable",IF(B40&gt;=0.6,"Cuestionable","Inaceptable"))))</f>
        <v>Excelente</v>
      </c>
    </row>
    <row r="43" spans="1:44" ht="36" customHeight="1" x14ac:dyDescent="0.25">
      <c r="A43" s="61" t="s">
        <v>223</v>
      </c>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50"/>
    </row>
  </sheetData>
  <autoFilter ref="A3:AR33" xr:uid="{00000000-0009-0000-0000-000007000000}"/>
  <mergeCells count="2">
    <mergeCell ref="A43:AR43"/>
    <mergeCell ref="A1:A2"/>
  </mergeCells>
  <pageMargins left="0.75" right="0.75" top="1" bottom="1" header="0.5" footer="0.5"/>
  <pageSetup paperSize="9"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30"/>
  <sheetViews>
    <sheetView tabSelected="1" zoomScale="90" workbookViewId="0">
      <pane ySplit="4" topLeftCell="A20" activePane="bottomLeft" state="frozen"/>
      <selection pane="bottomLeft" activeCell="I7" sqref="I7"/>
    </sheetView>
  </sheetViews>
  <sheetFormatPr baseColWidth="10" defaultColWidth="8.7109375" defaultRowHeight="15" x14ac:dyDescent="0.25"/>
  <cols>
    <col min="1" max="1" width="16" customWidth="1"/>
    <col min="2" max="2" width="13" customWidth="1"/>
    <col min="3" max="3" width="42" customWidth="1"/>
    <col min="4" max="4" width="16" customWidth="1"/>
    <col min="5" max="5" width="18" customWidth="1"/>
    <col min="6" max="6" width="20" customWidth="1"/>
    <col min="7" max="7" width="13" customWidth="1"/>
    <col min="8" max="8" width="40" customWidth="1"/>
    <col min="9" max="9" width="65" customWidth="1"/>
  </cols>
  <sheetData>
    <row r="1" spans="1:9" ht="21.95" customHeight="1" x14ac:dyDescent="0.25">
      <c r="A1" s="48" t="s">
        <v>224</v>
      </c>
      <c r="B1" s="49"/>
      <c r="C1" s="49"/>
      <c r="D1" s="49"/>
      <c r="E1" s="49"/>
      <c r="F1" s="50"/>
    </row>
    <row r="2" spans="1:9" ht="30" customHeight="1" x14ac:dyDescent="0.25">
      <c r="A2" s="17" t="s">
        <v>192</v>
      </c>
    </row>
    <row r="3" spans="1:9" ht="21.95" customHeight="1" x14ac:dyDescent="0.25">
      <c r="A3" s="60" t="s">
        <v>193</v>
      </c>
      <c r="B3" s="49"/>
      <c r="C3" s="49"/>
      <c r="D3" s="49"/>
      <c r="E3" s="49"/>
      <c r="F3" s="50"/>
      <c r="H3" s="19" t="s">
        <v>225</v>
      </c>
      <c r="I3" s="19" t="s">
        <v>226</v>
      </c>
    </row>
    <row r="4" spans="1:9" ht="30" customHeight="1" x14ac:dyDescent="0.25">
      <c r="A4" s="40" t="s">
        <v>154</v>
      </c>
      <c r="B4" s="40" t="s">
        <v>155</v>
      </c>
      <c r="C4" s="40" t="s">
        <v>156</v>
      </c>
      <c r="D4" s="40" t="s">
        <v>194</v>
      </c>
      <c r="E4" s="40" t="s">
        <v>195</v>
      </c>
      <c r="F4" s="40" t="s">
        <v>196</v>
      </c>
      <c r="G4" s="5"/>
      <c r="H4" s="40" t="s">
        <v>227</v>
      </c>
      <c r="I4" s="46">
        <f>AVERAGE(E5:E18)</f>
        <v>99.087301587301596</v>
      </c>
    </row>
    <row r="5" spans="1:9" ht="26.85" customHeight="1" x14ac:dyDescent="0.25">
      <c r="A5" s="32" t="s">
        <v>158</v>
      </c>
      <c r="B5" s="32">
        <v>1</v>
      </c>
      <c r="C5" s="41" t="s">
        <v>159</v>
      </c>
      <c r="D5" s="32">
        <v>4</v>
      </c>
      <c r="E5" s="33">
        <f>AVERAGE('Cálculo postest'!B4:E33)/4*100</f>
        <v>98.333333333333329</v>
      </c>
      <c r="F5" s="32" t="str">
        <f t="shared" ref="F5:F18" si="0">IF(E5&gt;=76,"Optimizado",IF(E5&gt;=51,"Gestionado",IF(E5&gt;=26,"Básico","Inicial")))</f>
        <v>Optimizado</v>
      </c>
      <c r="H5" s="17" t="s">
        <v>228</v>
      </c>
      <c r="I5" s="20">
        <v>30</v>
      </c>
    </row>
    <row r="6" spans="1:9" ht="39.6" customHeight="1" x14ac:dyDescent="0.25">
      <c r="A6" s="32" t="s">
        <v>158</v>
      </c>
      <c r="B6" s="32">
        <v>2</v>
      </c>
      <c r="C6" s="41" t="s">
        <v>161</v>
      </c>
      <c r="D6" s="32">
        <v>3</v>
      </c>
      <c r="E6" s="33">
        <f>AVERAGE('Cálculo postest'!F4:H33)/4*100</f>
        <v>98.888888888888886</v>
      </c>
      <c r="F6" s="32" t="str">
        <f t="shared" si="0"/>
        <v>Optimizado</v>
      </c>
      <c r="H6" s="17" t="s">
        <v>229</v>
      </c>
      <c r="I6" s="66" t="s">
        <v>239</v>
      </c>
    </row>
    <row r="7" spans="1:9" ht="26.85" customHeight="1" x14ac:dyDescent="0.25">
      <c r="A7" s="32" t="s">
        <v>158</v>
      </c>
      <c r="B7" s="32">
        <v>3</v>
      </c>
      <c r="C7" s="41" t="s">
        <v>163</v>
      </c>
      <c r="D7" s="32">
        <v>3</v>
      </c>
      <c r="E7" s="33">
        <f>AVERAGE('Cálculo postest'!I4:K33)/4*100</f>
        <v>99.166666666666671</v>
      </c>
      <c r="F7" s="32" t="str">
        <f t="shared" si="0"/>
        <v>Optimizado</v>
      </c>
      <c r="H7" s="17" t="s">
        <v>71</v>
      </c>
      <c r="I7" s="66" t="s">
        <v>238</v>
      </c>
    </row>
    <row r="8" spans="1:9" ht="26.85" customHeight="1" x14ac:dyDescent="0.25">
      <c r="A8" s="32" t="s">
        <v>158</v>
      </c>
      <c r="B8" s="32">
        <v>4</v>
      </c>
      <c r="C8" s="41" t="s">
        <v>165</v>
      </c>
      <c r="D8" s="32">
        <v>3</v>
      </c>
      <c r="E8" s="33">
        <f>AVERAGE('Cálculo postest'!L4:N33)/4*100</f>
        <v>99.166666666666671</v>
      </c>
      <c r="F8" s="32" t="str">
        <f t="shared" si="0"/>
        <v>Optimizado</v>
      </c>
    </row>
    <row r="9" spans="1:9" ht="26.85" customHeight="1" x14ac:dyDescent="0.25">
      <c r="A9" s="32" t="s">
        <v>167</v>
      </c>
      <c r="B9" s="32">
        <v>5</v>
      </c>
      <c r="C9" s="41" t="s">
        <v>168</v>
      </c>
      <c r="D9" s="32">
        <v>3</v>
      </c>
      <c r="E9" s="33">
        <f>AVERAGE('Cálculo postest'!O4:Q33)/4*100</f>
        <v>99.166666666666671</v>
      </c>
      <c r="F9" s="32" t="str">
        <f t="shared" si="0"/>
        <v>Optimizado</v>
      </c>
    </row>
    <row r="10" spans="1:9" ht="39.6" customHeight="1" x14ac:dyDescent="0.25">
      <c r="A10" s="32" t="s">
        <v>167</v>
      </c>
      <c r="B10" s="32">
        <v>6</v>
      </c>
      <c r="C10" s="41" t="s">
        <v>170</v>
      </c>
      <c r="D10" s="32">
        <v>3</v>
      </c>
      <c r="E10" s="33">
        <f>AVERAGE('Cálculo postest'!R4:T33)/4*100</f>
        <v>99.166666666666671</v>
      </c>
      <c r="F10" s="32" t="str">
        <f t="shared" si="0"/>
        <v>Optimizado</v>
      </c>
    </row>
    <row r="11" spans="1:9" ht="26.85" customHeight="1" x14ac:dyDescent="0.25">
      <c r="A11" s="32" t="s">
        <v>167</v>
      </c>
      <c r="B11" s="32">
        <v>7</v>
      </c>
      <c r="C11" s="41" t="s">
        <v>172</v>
      </c>
      <c r="D11" s="32">
        <v>2</v>
      </c>
      <c r="E11" s="33">
        <f>AVERAGE('Cálculo postest'!U4:V33)/4*100</f>
        <v>99.166666666666671</v>
      </c>
      <c r="F11" s="32" t="str">
        <f t="shared" si="0"/>
        <v>Optimizado</v>
      </c>
    </row>
    <row r="12" spans="1:9" ht="26.85" customHeight="1" x14ac:dyDescent="0.25">
      <c r="A12" s="32" t="s">
        <v>174</v>
      </c>
      <c r="B12" s="32">
        <v>8</v>
      </c>
      <c r="C12" s="41" t="s">
        <v>175</v>
      </c>
      <c r="D12" s="32">
        <v>3</v>
      </c>
      <c r="E12" s="33">
        <f>AVERAGE('Cálculo postest'!W4:Y33)/4*100</f>
        <v>99.166666666666671</v>
      </c>
      <c r="F12" s="32" t="str">
        <f t="shared" si="0"/>
        <v>Optimizado</v>
      </c>
    </row>
    <row r="13" spans="1:9" ht="26.85" customHeight="1" x14ac:dyDescent="0.25">
      <c r="A13" s="32" t="s">
        <v>174</v>
      </c>
      <c r="B13" s="32">
        <v>9</v>
      </c>
      <c r="C13" s="41" t="s">
        <v>177</v>
      </c>
      <c r="D13" s="32">
        <v>3</v>
      </c>
      <c r="E13" s="33">
        <f>AVERAGE('Cálculo postest'!Z4:AB33)/4*100</f>
        <v>99.166666666666671</v>
      </c>
      <c r="F13" s="32" t="str">
        <f t="shared" si="0"/>
        <v>Optimizado</v>
      </c>
    </row>
    <row r="14" spans="1:9" ht="26.85" customHeight="1" x14ac:dyDescent="0.25">
      <c r="A14" s="32" t="s">
        <v>174</v>
      </c>
      <c r="B14" s="32">
        <v>10</v>
      </c>
      <c r="C14" s="41" t="s">
        <v>179</v>
      </c>
      <c r="D14" s="32">
        <v>3</v>
      </c>
      <c r="E14" s="33">
        <f>AVERAGE('Cálculo postest'!AC4:AE33)/4*100</f>
        <v>99.166666666666671</v>
      </c>
      <c r="F14" s="32" t="str">
        <f t="shared" si="0"/>
        <v>Optimizado</v>
      </c>
    </row>
    <row r="15" spans="1:9" ht="39.6" customHeight="1" x14ac:dyDescent="0.25">
      <c r="A15" s="32" t="s">
        <v>174</v>
      </c>
      <c r="B15" s="32">
        <v>11</v>
      </c>
      <c r="C15" s="41" t="s">
        <v>181</v>
      </c>
      <c r="D15" s="32">
        <v>3</v>
      </c>
      <c r="E15" s="33">
        <f>AVERAGE('Cálculo postest'!AF4:AH33)/4*100</f>
        <v>99.166666666666671</v>
      </c>
      <c r="F15" s="32" t="str">
        <f t="shared" si="0"/>
        <v>Optimizado</v>
      </c>
    </row>
    <row r="16" spans="1:9" ht="21.95" customHeight="1" x14ac:dyDescent="0.25">
      <c r="A16" s="32" t="s">
        <v>183</v>
      </c>
      <c r="B16" s="32">
        <v>12</v>
      </c>
      <c r="C16" s="41" t="s">
        <v>184</v>
      </c>
      <c r="D16" s="32">
        <v>3</v>
      </c>
      <c r="E16" s="33">
        <f>AVERAGE('Cálculo postest'!AI4:AK33)/4*100</f>
        <v>99.166666666666671</v>
      </c>
      <c r="F16" s="32" t="str">
        <f t="shared" si="0"/>
        <v>Optimizado</v>
      </c>
    </row>
    <row r="17" spans="1:6" ht="26.85" customHeight="1" x14ac:dyDescent="0.25">
      <c r="A17" s="32" t="s">
        <v>183</v>
      </c>
      <c r="B17" s="32">
        <v>13</v>
      </c>
      <c r="C17" s="41" t="s">
        <v>186</v>
      </c>
      <c r="D17" s="32">
        <v>3</v>
      </c>
      <c r="E17" s="33">
        <f>AVERAGE('Cálculo postest'!AL4:AN33)/4*100</f>
        <v>99.166666666666671</v>
      </c>
      <c r="F17" s="32" t="str">
        <f t="shared" si="0"/>
        <v>Optimizado</v>
      </c>
    </row>
    <row r="18" spans="1:6" ht="26.85" customHeight="1" x14ac:dyDescent="0.25">
      <c r="A18" s="32" t="s">
        <v>183</v>
      </c>
      <c r="B18" s="32">
        <v>14</v>
      </c>
      <c r="C18" s="41" t="s">
        <v>188</v>
      </c>
      <c r="D18" s="32">
        <v>3</v>
      </c>
      <c r="E18" s="33">
        <f>AVERAGE('Cálculo postest'!AO4:AQ33)/4*100</f>
        <v>99.166666666666671</v>
      </c>
      <c r="F18" s="32" t="str">
        <f t="shared" si="0"/>
        <v>Optimizado</v>
      </c>
    </row>
    <row r="19" spans="1:6" ht="42" customHeight="1" x14ac:dyDescent="0.25">
      <c r="A19" s="57" t="s">
        <v>197</v>
      </c>
      <c r="B19" s="49"/>
      <c r="C19" s="49"/>
      <c r="D19" s="49"/>
      <c r="E19" s="49"/>
      <c r="F19" s="50"/>
    </row>
    <row r="20" spans="1:6" ht="90" customHeight="1" x14ac:dyDescent="0.25">
      <c r="A20" s="17" t="s">
        <v>230</v>
      </c>
      <c r="B20" s="4"/>
      <c r="C20" s="4"/>
      <c r="D20" s="4"/>
      <c r="E20" s="20">
        <f>AVERAGE(E5:E18)</f>
        <v>99.087301587301596</v>
      </c>
      <c r="F20" s="17" t="s">
        <v>231</v>
      </c>
    </row>
    <row r="21" spans="1:6" ht="21.95" customHeight="1" x14ac:dyDescent="0.25">
      <c r="A21" s="60" t="s">
        <v>200</v>
      </c>
      <c r="B21" s="49"/>
      <c r="C21" s="49"/>
      <c r="D21" s="49"/>
      <c r="E21" s="49"/>
      <c r="F21" s="50"/>
    </row>
    <row r="22" spans="1:6" ht="21.95" customHeight="1" x14ac:dyDescent="0.25">
      <c r="A22" s="40" t="s">
        <v>154</v>
      </c>
      <c r="B22" s="40" t="s">
        <v>201</v>
      </c>
      <c r="C22" s="59" t="s">
        <v>202</v>
      </c>
      <c r="D22" s="50"/>
      <c r="E22" s="40" t="s">
        <v>195</v>
      </c>
      <c r="F22" s="40" t="s">
        <v>196</v>
      </c>
    </row>
    <row r="23" spans="1:6" ht="21.95" customHeight="1" x14ac:dyDescent="0.25">
      <c r="A23" s="39" t="s">
        <v>158</v>
      </c>
      <c r="B23" s="42" t="s">
        <v>203</v>
      </c>
      <c r="C23" s="56" t="s">
        <v>204</v>
      </c>
      <c r="D23" s="50"/>
      <c r="E23" s="43">
        <f>AVERAGE(E5:E8)</f>
        <v>98.8888888888889</v>
      </c>
      <c r="F23" s="39" t="str">
        <f>IF(E23&gt;=76,"Optimizado",IF(E23&gt;=51,"Gestionado",IF(E23&gt;=26,"Básico","Inicial")))</f>
        <v>Optimizado</v>
      </c>
    </row>
    <row r="24" spans="1:6" ht="21.95" customHeight="1" x14ac:dyDescent="0.25">
      <c r="A24" s="39" t="s">
        <v>167</v>
      </c>
      <c r="B24" s="42" t="s">
        <v>205</v>
      </c>
      <c r="C24" s="56" t="s">
        <v>206</v>
      </c>
      <c r="D24" s="50"/>
      <c r="E24" s="43">
        <f>AVERAGE(E9:E11)</f>
        <v>99.166666666666671</v>
      </c>
      <c r="F24" s="39" t="str">
        <f>IF(E24&gt;=76,"Optimizado",IF(E24&gt;=51,"Gestionado",IF(E24&gt;=26,"Básico","Inicial")))</f>
        <v>Optimizado</v>
      </c>
    </row>
    <row r="25" spans="1:6" ht="26.85" customHeight="1" x14ac:dyDescent="0.25">
      <c r="A25" s="39" t="s">
        <v>174</v>
      </c>
      <c r="B25" s="42" t="s">
        <v>207</v>
      </c>
      <c r="C25" s="56" t="s">
        <v>208</v>
      </c>
      <c r="D25" s="50"/>
      <c r="E25" s="43">
        <f>AVERAGE(E12:E15)</f>
        <v>99.166666666666671</v>
      </c>
      <c r="F25" s="39" t="str">
        <f>IF(E25&gt;=76,"Optimizado",IF(E25&gt;=51,"Gestionado",IF(E25&gt;=26,"Básico","Inicial")))</f>
        <v>Optimizado</v>
      </c>
    </row>
    <row r="26" spans="1:6" ht="26.85" customHeight="1" x14ac:dyDescent="0.25">
      <c r="A26" s="39" t="s">
        <v>183</v>
      </c>
      <c r="B26" s="42" t="s">
        <v>209</v>
      </c>
      <c r="C26" s="56" t="s">
        <v>210</v>
      </c>
      <c r="D26" s="50"/>
      <c r="E26" s="43">
        <f>AVERAGE(E16:E18)</f>
        <v>99.166666666666671</v>
      </c>
      <c r="F26" s="39" t="str">
        <f>IF(E26&gt;=76,"Optimizado",IF(E26&gt;=51,"Gestionado",IF(E26&gt;=26,"Básico","Inicial")))</f>
        <v>Optimizado</v>
      </c>
    </row>
    <row r="27" spans="1:6" ht="21.95" customHeight="1" x14ac:dyDescent="0.25">
      <c r="A27" s="57" t="s">
        <v>211</v>
      </c>
      <c r="B27" s="49"/>
      <c r="C27" s="49"/>
      <c r="D27" s="49"/>
      <c r="E27" s="49"/>
      <c r="F27" s="50"/>
    </row>
    <row r="29" spans="1:6" ht="21.95" customHeight="1" x14ac:dyDescent="0.25">
      <c r="A29" s="58" t="s">
        <v>212</v>
      </c>
      <c r="B29" s="49"/>
      <c r="C29" s="49"/>
      <c r="D29" s="50"/>
      <c r="E29" s="44">
        <f>AVERAGE(E5:E18)</f>
        <v>99.087301587301596</v>
      </c>
      <c r="F29" s="45" t="str">
        <f>IF(E29&gt;=76,"Optimizado",IF(E29&gt;=51,"Gestionado",IF(E29&gt;=26,"Básico","Inicial")))</f>
        <v>Optimizado</v>
      </c>
    </row>
    <row r="30" spans="1:6" ht="54" customHeight="1" x14ac:dyDescent="0.25">
      <c r="A30" s="62" t="s">
        <v>237</v>
      </c>
      <c r="B30" s="49"/>
      <c r="C30" s="49"/>
      <c r="D30" s="49"/>
      <c r="E30" s="49"/>
      <c r="F30" s="50"/>
    </row>
  </sheetData>
  <mergeCells count="12">
    <mergeCell ref="A29:D29"/>
    <mergeCell ref="C22:D22"/>
    <mergeCell ref="A3:F3"/>
    <mergeCell ref="A30:F30"/>
    <mergeCell ref="C26:D26"/>
    <mergeCell ref="A21:F21"/>
    <mergeCell ref="C23:D23"/>
    <mergeCell ref="C24:D24"/>
    <mergeCell ref="A19:F19"/>
    <mergeCell ref="C25:D25"/>
    <mergeCell ref="A1:F1"/>
    <mergeCell ref="A27:F27"/>
  </mergeCells>
  <pageMargins left="0.75" right="0.75" top="1" bottom="1"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Control de completitud</vt:lpstr>
      <vt:lpstr>Muestra institucional</vt:lpstr>
      <vt:lpstr>Comparación pre-post</vt:lpstr>
      <vt:lpstr>Concepto</vt:lpstr>
      <vt:lpstr>Cálculo pretest</vt:lpstr>
      <vt:lpstr>Asignación por rol</vt:lpstr>
      <vt:lpstr>Resultados pretest</vt:lpstr>
      <vt:lpstr>Cálculo postest</vt:lpstr>
      <vt:lpstr>Resultados postest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Mendoza Escobar</cp:lastModifiedBy>
  <cp:revision>0</cp:revision>
  <dcterms:created xsi:type="dcterms:W3CDTF">2026-06-02T17:08:49Z</dcterms:created>
  <dcterms:modified xsi:type="dcterms:W3CDTF">2026-10-15T19:19:18Z</dcterms:modified>
  <dc:language>en-US</dc:language>
</cp:coreProperties>
</file>