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gistro" sheetId="2" state="visible" r:id="rId2"/>
    <sheet xmlns:r="http://schemas.openxmlformats.org/officeDocument/2006/relationships" name="Matriz" sheetId="3" state="visible" r:id="rId3"/>
    <sheet xmlns:r="http://schemas.openxmlformats.org/officeDocument/2006/relationships" name="Por instrumento" sheetId="4" state="visible" r:id="rId4"/>
    <sheet xmlns:r="http://schemas.openxmlformats.org/officeDocument/2006/relationships" name="Por grupo" sheetId="5" state="visible" r:id="rId5"/>
    <sheet xmlns:r="http://schemas.openxmlformats.org/officeDocument/2006/relationships" name="Global" sheetId="6" state="visible" r:id="rId6"/>
    <sheet xmlns:r="http://schemas.openxmlformats.org/officeDocument/2006/relationships" name="Fiabilidad"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b val="1"/>
      <color rgb="001F3864"/>
      <sz val="14"/>
    </font>
    <font>
      <color rgb="005A6878"/>
      <sz val="10"/>
    </font>
    <font>
      <b val="1"/>
      <color rgb="001F3864"/>
      <sz val="11"/>
    </font>
    <font>
      <sz val="10"/>
    </font>
    <font>
      <b val="1"/>
      <color rgb="00FFFFFF"/>
      <sz val="10"/>
    </font>
    <font>
      <b val="1"/>
      <sz val="10"/>
    </font>
    <font>
      <b val="1"/>
      <color rgb="001F6032"/>
      <sz val="11"/>
    </font>
    <font>
      <color rgb="005A6878"/>
      <sz val="9"/>
    </font>
    <font>
      <b val="1"/>
      <color rgb="001F3864"/>
      <sz val="13"/>
    </font>
  </fonts>
  <fills count="5">
    <fill>
      <patternFill/>
    </fill>
    <fill>
      <patternFill patternType="gray125"/>
    </fill>
    <fill>
      <patternFill patternType="solid">
        <fgColor rgb="001F3864"/>
      </patternFill>
    </fill>
    <fill>
      <patternFill patternType="solid">
        <fgColor rgb="00FFF4E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3" borderId="1" pivotButton="0" quotePrefix="0" xfId="0"/>
    <xf numFmtId="0" fontId="6" fillId="0" borderId="0" pivotButton="0" quotePrefix="0" xfId="0"/>
    <xf numFmtId="0" fontId="4" fillId="0" borderId="0" pivotButton="0" quotePrefix="0" xfId="0"/>
    <xf numFmtId="0" fontId="4" fillId="3" borderId="1" applyAlignment="1" pivotButton="0" quotePrefix="0" xfId="0">
      <alignment horizontal="center" vertical="center"/>
    </xf>
    <xf numFmtId="0" fontId="6" fillId="4" borderId="0" applyAlignment="1" pivotButton="0" quotePrefix="0" xfId="0">
      <alignment horizontal="center" vertical="center"/>
    </xf>
    <xf numFmtId="2" fontId="4" fillId="0" borderId="1" applyAlignment="1" pivotButton="0" quotePrefix="0" xfId="0">
      <alignment horizontal="center" vertical="center"/>
    </xf>
    <xf numFmtId="2" fontId="7" fillId="4" borderId="0" applyAlignment="1" pivotButton="0" quotePrefix="0" xfId="0">
      <alignment horizontal="center" vertical="center"/>
    </xf>
    <xf numFmtId="0" fontId="7" fillId="4" borderId="0" applyAlignment="1" pivotButton="0" quotePrefix="0" xfId="0">
      <alignment horizontal="center" vertical="center"/>
    </xf>
    <xf numFmtId="0" fontId="4" fillId="0" borderId="1" applyAlignment="1" pivotButton="0" quotePrefix="0" xfId="0">
      <alignment vertical="top" wrapText="1"/>
    </xf>
    <xf numFmtId="2" fontId="3" fillId="4" borderId="1" applyAlignment="1" pivotButton="0" quotePrefix="0" xfId="0">
      <alignment horizontal="center" vertical="center"/>
    </xf>
    <xf numFmtId="0" fontId="8" fillId="0" borderId="1" applyAlignment="1" pivotButton="0" quotePrefix="0" xfId="0">
      <alignment vertical="top" wrapText="1"/>
    </xf>
    <xf numFmtId="0" fontId="3" fillId="4" borderId="1" applyAlignment="1" pivotButton="0" quotePrefix="0" xfId="0">
      <alignment horizontal="center" vertical="center"/>
    </xf>
    <xf numFmtId="1" fontId="3" fillId="4" borderId="1" applyAlignment="1" pivotButton="0" quotePrefix="0" xfId="0">
      <alignment horizontal="center" vertical="center"/>
    </xf>
    <xf numFmtId="0" fontId="9" fillId="0" borderId="0" pivotButton="0" quotePrefix="0" xfId="0"/>
    <xf numFmtId="1" fontId="3" fillId="0" borderId="1" applyAlignment="1" pivotButton="0" quotePrefix="0" xfId="0">
      <alignment horizontal="center" vertical="center"/>
    </xf>
    <xf numFmtId="164" fontId="3" fillId="0" borderId="1" applyAlignment="1" pivotButton="0" quotePrefix="0" xfId="0">
      <alignment horizontal="center" vertical="center"/>
    </xf>
    <xf numFmtId="0" fontId="6" fillId="0" borderId="1" applyAlignment="1" pivotButton="0" quotePrefix="0" xfId="0">
      <alignment vertical="top" wrapText="1"/>
    </xf>
    <xf numFmtId="164" fontId="8"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5"/>
  <sheetViews>
    <sheetView workbookViewId="0">
      <selection activeCell="A1" sqref="A1"/>
    </sheetView>
  </sheetViews>
  <sheetFormatPr baseColWidth="8" defaultRowHeight="15"/>
  <cols>
    <col width="3" customWidth="1" min="1" max="1"/>
    <col width="118" customWidth="1" min="2" max="2"/>
  </cols>
  <sheetData>
    <row r="1">
      <c r="B1" s="1" t="inlineStr">
        <is>
          <t>Captura del postest · instrumento de madurez en seguridad de la informacion</t>
        </is>
      </c>
    </row>
    <row r="2">
      <c r="B2" s="2" t="inlineStr">
        <is>
          <t>Servicio de Impuestos Nacionales · laboratorio del Prototipo II</t>
        </is>
      </c>
    </row>
    <row r="4">
      <c r="B4" s="3" t="inlineStr">
        <is>
          <t>Que contiene este libro</t>
        </is>
      </c>
    </row>
    <row r="5">
      <c r="B5" s="4" t="inlineStr">
        <is>
          <t>El libro esta vacio de respuestas. Al escribir el valor de cada reactivo en la hoja Matriz, las hojas siguientes calculan solas la madurez por instrumento, la madurez por grupo, la madurez global, la fiabilidad del instrumento y la distancia respecto del pretest. Ninguna cifra esta escrita de antemano.</t>
        </is>
      </c>
    </row>
    <row r="6">
      <c r="B6" s="4" t="inlineStr"/>
    </row>
    <row r="7">
      <c r="B7" s="3" t="inlineStr">
        <is>
          <t>Orden de trabajo</t>
        </is>
      </c>
    </row>
    <row r="8">
      <c r="B8" s="4" t="inlineStr">
        <is>
          <t>1. Abra la hoja Registro y anote los treinta respondentes con su rol y la fecha de aplicacion.</t>
        </is>
      </c>
    </row>
    <row r="9">
      <c r="B9" s="4" t="inlineStr">
        <is>
          <t>2. Entregue el instrumento en blanco a cada respondente y recoja las respuestas.</t>
        </is>
      </c>
    </row>
    <row r="10">
      <c r="B10" s="4" t="inlineStr">
        <is>
          <t>3. Abra la hoja Matriz y escriba en cada celda el valor del reactivo, con un numero entero de 0 a 4.</t>
        </is>
      </c>
    </row>
    <row r="11">
      <c r="B11" s="4" t="inlineStr">
        <is>
          <t>4. Lea las hojas Por instrumento, Por grupo y Global, que ya estan calculadas.</t>
        </is>
      </c>
    </row>
    <row r="12">
      <c r="B12" s="4" t="inlineStr">
        <is>
          <t>5. Use la hoja Fiabilidad para comprobar el alfa de Cronbach antes de informar.</t>
        </is>
      </c>
    </row>
    <row r="13">
      <c r="B13" s="4" t="inlineStr"/>
    </row>
    <row r="14">
      <c r="B14" s="3" t="inlineStr">
        <is>
          <t>Como se asigna el valor</t>
        </is>
      </c>
    </row>
    <row r="15">
      <c r="B15" s="4" t="inlineStr">
        <is>
          <t>Cada reactivo tiene cinco rangos ordenados de mejor a peor. El valor 4 corresponde al rango mas alto y el valor 0 al mas bajo. Si la metrica no se mide o no existe, el valor correcto es 0, porque un proceso que no se mide no puede gestionarse ni mejorarse.</t>
        </is>
      </c>
    </row>
    <row r="16">
      <c r="B16" s="4" t="inlineStr"/>
    </row>
    <row r="17">
      <c r="B17" s="3" t="inlineStr">
        <is>
          <t>Cortes de madurez de la ficha tecnica</t>
        </is>
      </c>
    </row>
    <row r="18">
      <c r="B18" s="4" t="inlineStr">
        <is>
          <t>Inicial de 0 a 25 %, Basico de 26 a 50 %, Gestionado de 51 a 75 %, Optimizado de 76 a 100 %.</t>
        </is>
      </c>
    </row>
    <row r="19">
      <c r="B19" s="4" t="inlineStr">
        <is>
          <t>El porcentaje de un instrumento se obtiene de la suma de sus reactivos dividida entre su maximo posible. El porcentaje del grupo es el promedio de sus instrumentos y el porcentaje global es el promedio de los catorce instrumentos, con ponderacion igualitaria.</t>
        </is>
      </c>
    </row>
    <row r="20">
      <c r="B20" s="4" t="inlineStr"/>
    </row>
    <row r="21">
      <c r="B21" s="3" t="inlineStr">
        <is>
          <t>Referencia del pretest</t>
        </is>
      </c>
    </row>
    <row r="22">
      <c r="B22" s="4" t="inlineStr">
        <is>
          <t>El pretest alcanzo una madurez global de 52,70 % en nivel Gestionado, con un alfa de Cronbach de 0,869 sobre treinta respondentes. La hoja Global contrasta el resultado del postest con ese valor y con la diferencia en puntos porcentuales.</t>
        </is>
      </c>
    </row>
    <row r="23">
      <c r="B23" s="4" t="inlineStr"/>
    </row>
    <row r="24">
      <c r="B24" s="3" t="inlineStr">
        <is>
          <t>Regla de comparabilidad</t>
        </is>
      </c>
    </row>
    <row r="25">
      <c r="B25" s="4" t="inlineStr">
        <is>
          <t>El pretest y el postest solo son comparables si se aplican a los mismos roles y con el mismo instrumento. Si cambia el número de respondentes o su composicion, el contraste debe declararse como comparacion entre grupos y no como medicion del cambio.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18" customWidth="1" min="4" max="4"/>
    <col width="20" customWidth="1" min="5" max="5"/>
  </cols>
  <sheetData>
    <row r="1">
      <c r="A1" s="5" t="inlineStr">
        <is>
          <t>ID</t>
        </is>
      </c>
      <c r="B1" s="5" t="inlineStr">
        <is>
          <t>Nombre del respondente</t>
        </is>
      </c>
      <c r="C1" s="5" t="inlineStr">
        <is>
          <t>Rol funcional</t>
        </is>
      </c>
      <c r="D1" s="5" t="inlineStr">
        <is>
          <t>Fecha de aplicacion</t>
        </is>
      </c>
      <c r="E1" s="5" t="inlineStr">
        <is>
          <t>Instrumento recibido</t>
        </is>
      </c>
    </row>
    <row r="2">
      <c r="A2" s="6" t="inlineStr">
        <is>
          <t>R01</t>
        </is>
      </c>
      <c r="B2" s="7" t="n"/>
      <c r="C2" s="7" t="n"/>
      <c r="D2" s="7" t="n"/>
      <c r="E2" s="7" t="n"/>
    </row>
    <row r="3">
      <c r="A3" s="6" t="inlineStr">
        <is>
          <t>R02</t>
        </is>
      </c>
      <c r="B3" s="7" t="n"/>
      <c r="C3" s="7" t="n"/>
      <c r="D3" s="7" t="n"/>
      <c r="E3" s="7" t="n"/>
    </row>
    <row r="4">
      <c r="A4" s="6" t="inlineStr">
        <is>
          <t>R03</t>
        </is>
      </c>
      <c r="B4" s="7" t="n"/>
      <c r="C4" s="7" t="n"/>
      <c r="D4" s="7" t="n"/>
      <c r="E4" s="7" t="n"/>
    </row>
    <row r="5">
      <c r="A5" s="6" t="inlineStr">
        <is>
          <t>R04</t>
        </is>
      </c>
      <c r="B5" s="7" t="n"/>
      <c r="C5" s="7" t="n"/>
      <c r="D5" s="7" t="n"/>
      <c r="E5" s="7" t="n"/>
    </row>
    <row r="6">
      <c r="A6" s="6" t="inlineStr">
        <is>
          <t>R05</t>
        </is>
      </c>
      <c r="B6" s="7" t="n"/>
      <c r="C6" s="7" t="n"/>
      <c r="D6" s="7" t="n"/>
      <c r="E6" s="7" t="n"/>
    </row>
    <row r="7">
      <c r="A7" s="6" t="inlineStr">
        <is>
          <t>R06</t>
        </is>
      </c>
      <c r="B7" s="7" t="n"/>
      <c r="C7" s="7" t="n"/>
      <c r="D7" s="7" t="n"/>
      <c r="E7" s="7" t="n"/>
    </row>
    <row r="8">
      <c r="A8" s="6" t="inlineStr">
        <is>
          <t>R07</t>
        </is>
      </c>
      <c r="B8" s="7" t="n"/>
      <c r="C8" s="7" t="n"/>
      <c r="D8" s="7" t="n"/>
      <c r="E8" s="7" t="n"/>
    </row>
    <row r="9">
      <c r="A9" s="6" t="inlineStr">
        <is>
          <t>R08</t>
        </is>
      </c>
      <c r="B9" s="7" t="n"/>
      <c r="C9" s="7" t="n"/>
      <c r="D9" s="7" t="n"/>
      <c r="E9" s="7" t="n"/>
    </row>
    <row r="10">
      <c r="A10" s="6" t="inlineStr">
        <is>
          <t>R09</t>
        </is>
      </c>
      <c r="B10" s="7" t="n"/>
      <c r="C10" s="7" t="n"/>
      <c r="D10" s="7" t="n"/>
      <c r="E10" s="7" t="n"/>
    </row>
    <row r="11">
      <c r="A11" s="6" t="inlineStr">
        <is>
          <t>R10</t>
        </is>
      </c>
      <c r="B11" s="7" t="n"/>
      <c r="C11" s="7" t="n"/>
      <c r="D11" s="7" t="n"/>
      <c r="E11" s="7" t="n"/>
    </row>
    <row r="12">
      <c r="A12" s="6" t="inlineStr">
        <is>
          <t>R11</t>
        </is>
      </c>
      <c r="B12" s="7" t="n"/>
      <c r="C12" s="7" t="n"/>
      <c r="D12" s="7" t="n"/>
      <c r="E12" s="7" t="n"/>
    </row>
    <row r="13">
      <c r="A13" s="6" t="inlineStr">
        <is>
          <t>R12</t>
        </is>
      </c>
      <c r="B13" s="7" t="n"/>
      <c r="C13" s="7" t="n"/>
      <c r="D13" s="7" t="n"/>
      <c r="E13" s="7" t="n"/>
    </row>
    <row r="14">
      <c r="A14" s="6" t="inlineStr">
        <is>
          <t>R13</t>
        </is>
      </c>
      <c r="B14" s="7" t="n"/>
      <c r="C14" s="7" t="n"/>
      <c r="D14" s="7" t="n"/>
      <c r="E14" s="7" t="n"/>
    </row>
    <row r="15">
      <c r="A15" s="6" t="inlineStr">
        <is>
          <t>R14</t>
        </is>
      </c>
      <c r="B15" s="7" t="n"/>
      <c r="C15" s="7" t="n"/>
      <c r="D15" s="7" t="n"/>
      <c r="E15" s="7" t="n"/>
    </row>
    <row r="16">
      <c r="A16" s="6" t="inlineStr">
        <is>
          <t>R15</t>
        </is>
      </c>
      <c r="B16" s="7" t="n"/>
      <c r="C16" s="7" t="n"/>
      <c r="D16" s="7" t="n"/>
      <c r="E16" s="7" t="n"/>
    </row>
    <row r="17">
      <c r="A17" s="6" t="inlineStr">
        <is>
          <t>R16</t>
        </is>
      </c>
      <c r="B17" s="7" t="n"/>
      <c r="C17" s="7" t="n"/>
      <c r="D17" s="7" t="n"/>
      <c r="E17" s="7" t="n"/>
    </row>
    <row r="18">
      <c r="A18" s="6" t="inlineStr">
        <is>
          <t>R17</t>
        </is>
      </c>
      <c r="B18" s="7" t="n"/>
      <c r="C18" s="7" t="n"/>
      <c r="D18" s="7" t="n"/>
      <c r="E18" s="7" t="n"/>
    </row>
    <row r="19">
      <c r="A19" s="6" t="inlineStr">
        <is>
          <t>R18</t>
        </is>
      </c>
      <c r="B19" s="7" t="n"/>
      <c r="C19" s="7" t="n"/>
      <c r="D19" s="7" t="n"/>
      <c r="E19" s="7" t="n"/>
    </row>
    <row r="20">
      <c r="A20" s="6" t="inlineStr">
        <is>
          <t>R19</t>
        </is>
      </c>
      <c r="B20" s="7" t="n"/>
      <c r="C20" s="7" t="n"/>
      <c r="D20" s="7" t="n"/>
      <c r="E20" s="7" t="n"/>
    </row>
    <row r="21">
      <c r="A21" s="6" t="inlineStr">
        <is>
          <t>R20</t>
        </is>
      </c>
      <c r="B21" s="7" t="n"/>
      <c r="C21" s="7" t="n"/>
      <c r="D21" s="7" t="n"/>
      <c r="E21" s="7" t="n"/>
    </row>
    <row r="22">
      <c r="A22" s="6" t="inlineStr">
        <is>
          <t>R21</t>
        </is>
      </c>
      <c r="B22" s="7" t="n"/>
      <c r="C22" s="7" t="n"/>
      <c r="D22" s="7" t="n"/>
      <c r="E22" s="7" t="n"/>
    </row>
    <row r="23">
      <c r="A23" s="6" t="inlineStr">
        <is>
          <t>R22</t>
        </is>
      </c>
      <c r="B23" s="7" t="n"/>
      <c r="C23" s="7" t="n"/>
      <c r="D23" s="7" t="n"/>
      <c r="E23" s="7" t="n"/>
    </row>
    <row r="24">
      <c r="A24" s="6" t="inlineStr">
        <is>
          <t>R23</t>
        </is>
      </c>
      <c r="B24" s="7" t="n"/>
      <c r="C24" s="7" t="n"/>
      <c r="D24" s="7" t="n"/>
      <c r="E24" s="7" t="n"/>
    </row>
    <row r="25">
      <c r="A25" s="6" t="inlineStr">
        <is>
          <t>R24</t>
        </is>
      </c>
      <c r="B25" s="7" t="n"/>
      <c r="C25" s="7" t="n"/>
      <c r="D25" s="7" t="n"/>
      <c r="E25" s="7" t="n"/>
    </row>
    <row r="26">
      <c r="A26" s="6" t="inlineStr">
        <is>
          <t>R25</t>
        </is>
      </c>
      <c r="B26" s="7" t="n"/>
      <c r="C26" s="7" t="n"/>
      <c r="D26" s="7" t="n"/>
      <c r="E26" s="7" t="n"/>
    </row>
    <row r="27">
      <c r="A27" s="6" t="inlineStr">
        <is>
          <t>R26</t>
        </is>
      </c>
      <c r="B27" s="7" t="n"/>
      <c r="C27" s="7" t="n"/>
      <c r="D27" s="7" t="n"/>
      <c r="E27" s="7" t="n"/>
    </row>
    <row r="28">
      <c r="A28" s="6" t="inlineStr">
        <is>
          <t>R27</t>
        </is>
      </c>
      <c r="B28" s="7" t="n"/>
      <c r="C28" s="7" t="n"/>
      <c r="D28" s="7" t="n"/>
      <c r="E28" s="7" t="n"/>
    </row>
    <row r="29">
      <c r="A29" s="6" t="inlineStr">
        <is>
          <t>R28</t>
        </is>
      </c>
      <c r="B29" s="7" t="n"/>
      <c r="C29" s="7" t="n"/>
      <c r="D29" s="7" t="n"/>
      <c r="E29" s="7" t="n"/>
    </row>
    <row r="30">
      <c r="A30" s="6" t="inlineStr">
        <is>
          <t>R29</t>
        </is>
      </c>
      <c r="B30" s="7" t="n"/>
      <c r="C30" s="7" t="n"/>
      <c r="D30" s="7" t="n"/>
      <c r="E30" s="7" t="n"/>
    </row>
    <row r="31">
      <c r="A31" s="6" t="inlineStr">
        <is>
          <t>R30</t>
        </is>
      </c>
      <c r="B31" s="7" t="n"/>
      <c r="C31" s="7" t="n"/>
      <c r="D31" s="7" t="n"/>
      <c r="E31"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4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8" customWidth="1" min="3" max="3"/>
    <col width="62"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c r="A1" s="5" t="inlineStr">
        <is>
          <t>Reactivo</t>
        </is>
      </c>
      <c r="B1" s="5" t="inlineStr">
        <is>
          <t>Instrumento</t>
        </is>
      </c>
      <c r="C1" s="5" t="inlineStr">
        <is>
          <t>Grupo</t>
        </is>
      </c>
      <c r="D1" s="5" t="inlineStr">
        <is>
          <t>Texto del reactivo</t>
        </is>
      </c>
      <c r="E1" s="5" t="inlineStr">
        <is>
          <t>R01</t>
        </is>
      </c>
      <c r="F1" s="5" t="inlineStr">
        <is>
          <t>R02</t>
        </is>
      </c>
      <c r="G1" s="5" t="inlineStr">
        <is>
          <t>R03</t>
        </is>
      </c>
      <c r="H1" s="5" t="inlineStr">
        <is>
          <t>R04</t>
        </is>
      </c>
      <c r="I1" s="5" t="inlineStr">
        <is>
          <t>R05</t>
        </is>
      </c>
      <c r="J1" s="5" t="inlineStr">
        <is>
          <t>R06</t>
        </is>
      </c>
      <c r="K1" s="5" t="inlineStr">
        <is>
          <t>R07</t>
        </is>
      </c>
      <c r="L1" s="5" t="inlineStr">
        <is>
          <t>R08</t>
        </is>
      </c>
      <c r="M1" s="5" t="inlineStr">
        <is>
          <t>R09</t>
        </is>
      </c>
      <c r="N1" s="5" t="inlineStr">
        <is>
          <t>R10</t>
        </is>
      </c>
      <c r="O1" s="5" t="inlineStr">
        <is>
          <t>R11</t>
        </is>
      </c>
      <c r="P1" s="5" t="inlineStr">
        <is>
          <t>R12</t>
        </is>
      </c>
      <c r="Q1" s="5" t="inlineStr">
        <is>
          <t>R13</t>
        </is>
      </c>
      <c r="R1" s="5" t="inlineStr">
        <is>
          <t>R14</t>
        </is>
      </c>
      <c r="S1" s="5" t="inlineStr">
        <is>
          <t>R15</t>
        </is>
      </c>
      <c r="T1" s="5" t="inlineStr">
        <is>
          <t>R16</t>
        </is>
      </c>
      <c r="U1" s="5" t="inlineStr">
        <is>
          <t>R17</t>
        </is>
      </c>
      <c r="V1" s="5" t="inlineStr">
        <is>
          <t>R18</t>
        </is>
      </c>
      <c r="W1" s="5" t="inlineStr">
        <is>
          <t>R19</t>
        </is>
      </c>
      <c r="X1" s="5" t="inlineStr">
        <is>
          <t>R20</t>
        </is>
      </c>
      <c r="Y1" s="5" t="inlineStr">
        <is>
          <t>R21</t>
        </is>
      </c>
      <c r="Z1" s="5" t="inlineStr">
        <is>
          <t>R22</t>
        </is>
      </c>
      <c r="AA1" s="5" t="inlineStr">
        <is>
          <t>R23</t>
        </is>
      </c>
      <c r="AB1" s="5" t="inlineStr">
        <is>
          <t>R24</t>
        </is>
      </c>
      <c r="AC1" s="5" t="inlineStr">
        <is>
          <t>R25</t>
        </is>
      </c>
      <c r="AD1" s="5" t="inlineStr">
        <is>
          <t>R26</t>
        </is>
      </c>
      <c r="AE1" s="5" t="inlineStr">
        <is>
          <t>R27</t>
        </is>
      </c>
      <c r="AF1" s="5" t="inlineStr">
        <is>
          <t>R28</t>
        </is>
      </c>
      <c r="AG1" s="5" t="inlineStr">
        <is>
          <t>R29</t>
        </is>
      </c>
      <c r="AH1" s="5" t="inlineStr">
        <is>
          <t>R30</t>
        </is>
      </c>
    </row>
    <row r="2">
      <c r="A2" s="8" t="inlineStr">
        <is>
          <t>R01</t>
        </is>
      </c>
      <c r="B2" s="9" t="inlineStr">
        <is>
          <t>I01</t>
        </is>
      </c>
      <c r="C2" s="9" t="inlineStr">
        <is>
          <t>G1</t>
        </is>
      </c>
      <c r="D2" s="4" t="inlineStr">
        <is>
          <t>En los últimos 30 días, ¿qué porcentaje de eventos de seguridad registrados por el sistema de monitoreo contienen TODOS los campos mínimos (fecha/hora, dirección de origen, tipo de evento, identificador de la fuente)?</t>
        </is>
      </c>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row>
    <row r="3">
      <c r="A3" s="8" t="inlineStr">
        <is>
          <t>R02</t>
        </is>
      </c>
      <c r="B3" s="9" t="inlineStr">
        <is>
          <t>I01</t>
        </is>
      </c>
      <c r="C3" s="9" t="inlineStr">
        <is>
          <t>G1</t>
        </is>
      </c>
      <c r="D3" s="4" t="inlineStr">
        <is>
          <t>En los últimos 30 días, ¿cuál fue el TIEMPO PROMEDIO (en minutos) entre que se generó el evento de seguridad y quedó registrado en el sistema central de monitoreo?</t>
        </is>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row>
    <row r="4">
      <c r="A4" s="8" t="inlineStr">
        <is>
          <t>R03</t>
        </is>
      </c>
      <c r="B4" s="9" t="inlineStr">
        <is>
          <t>I01</t>
        </is>
      </c>
      <c r="C4" s="9" t="inlineStr">
        <is>
          <t>G1</t>
        </is>
      </c>
      <c r="D4" s="4" t="inlineStr">
        <is>
          <t>En los últimos 30 días, ¿cuál fue el TIEMPO MÁXIMO para el 95% de eventos (percentil 95) desde la detección hasta su registro?</t>
        </is>
      </c>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0" t="n"/>
    </row>
    <row r="5">
      <c r="A5" s="8" t="inlineStr">
        <is>
          <t>R04</t>
        </is>
      </c>
      <c r="B5" s="9" t="inlineStr">
        <is>
          <t>I01</t>
        </is>
      </c>
      <c r="C5" s="9" t="inlineStr">
        <is>
          <t>G1</t>
        </is>
      </c>
      <c r="D5" s="4" t="inlineStr">
        <is>
          <t>En los últimos 30 días, ¿qué disponibilidad tuvo el sistema de detección y monitoreo (porcentaje de tiempo activo y registrando)?</t>
        </is>
      </c>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row>
    <row r="6">
      <c r="A6" s="8" t="inlineStr">
        <is>
          <t>R05</t>
        </is>
      </c>
      <c r="B6" s="9" t="inlineStr">
        <is>
          <t>I02</t>
        </is>
      </c>
      <c r="C6" s="9" t="inlineStr">
        <is>
          <t>G1</t>
        </is>
      </c>
      <c r="D6" s="4" t="inlineStr">
        <is>
          <t>En los últimos 30 días, ¿qué porcentaje de alertas registradas tienen una CATEGORÍA de ataque asignada (p. ej., fuerza bruta, escaneo, acceso no autorizado)?</t>
        </is>
      </c>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row>
    <row r="7">
      <c r="A7" s="8" t="inlineStr">
        <is>
          <t>R06</t>
        </is>
      </c>
      <c r="B7" s="9" t="inlineStr">
        <is>
          <t>I02</t>
        </is>
      </c>
      <c r="C7" s="9" t="inlineStr">
        <is>
          <t>G1</t>
        </is>
      </c>
      <c r="D7" s="4" t="inlineStr">
        <is>
          <t>En los últimos 30 días, ¿qué porcentaje de alertas incluyen EVIDENCIA MÍNIMA adjunta (registro crudo y soporte si aplica: archivo o captura)?</t>
        </is>
      </c>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row>
    <row r="8">
      <c r="A8" s="8" t="inlineStr">
        <is>
          <t>R07</t>
        </is>
      </c>
      <c r="B8" s="9" t="inlineStr">
        <is>
          <t>I02</t>
        </is>
      </c>
      <c r="C8" s="9" t="inlineStr">
        <is>
          <t>G1</t>
        </is>
      </c>
      <c r="D8" s="4" t="inlineStr">
        <is>
          <t>En los últimos 30 días, ¿qué PUNTAJE (0–100) alcanza el expediente promedio de incidente considerando completitud de: alerta, evidencia mínima, análisis y cierre?</t>
        </is>
      </c>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row>
    <row r="9">
      <c r="A9" s="8" t="inlineStr">
        <is>
          <t>R08</t>
        </is>
      </c>
      <c r="B9" s="9" t="inlineStr">
        <is>
          <t>I03</t>
        </is>
      </c>
      <c r="C9" s="9" t="inlineStr">
        <is>
          <t>G1</t>
        </is>
      </c>
      <c r="D9" s="4" t="inlineStr">
        <is>
          <t>En los últimos 90 días, ¿cuál fue el TIEMPO PROMEDIO desde que se generó la alerta hasta que se aplicó la CONTENCIÓN inicial?</t>
        </is>
      </c>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row>
    <row r="10">
      <c r="A10" s="8" t="inlineStr">
        <is>
          <t>R09</t>
        </is>
      </c>
      <c r="B10" s="9" t="inlineStr">
        <is>
          <t>I03</t>
        </is>
      </c>
      <c r="C10" s="9" t="inlineStr">
        <is>
          <t>G1</t>
        </is>
      </c>
      <c r="D10" s="4" t="inlineStr">
        <is>
          <t>En los últimos 90 días, ¿qué porcentaje de CASOS CRÍTICOS se atendió dentro del TIEMPO OBJETIVO definido por el procedimiento?</t>
        </is>
      </c>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row>
    <row r="11">
      <c r="A11" s="8" t="inlineStr">
        <is>
          <t>R10</t>
        </is>
      </c>
      <c r="B11" s="9" t="inlineStr">
        <is>
          <t>I03</t>
        </is>
      </c>
      <c r="C11" s="9" t="inlineStr">
        <is>
          <t>G1</t>
        </is>
      </c>
      <c r="D11" s="4" t="inlineStr">
        <is>
          <t>En los últimos 90 días, ¿cuál fue el NÚMERO PROMEDIO de escalamientos formales por mes?</t>
        </is>
      </c>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row>
    <row r="12">
      <c r="A12" s="8" t="inlineStr">
        <is>
          <t>R11</t>
        </is>
      </c>
      <c r="B12" s="9" t="inlineStr">
        <is>
          <t>I04</t>
        </is>
      </c>
      <c r="C12" s="9" t="inlineStr">
        <is>
          <t>G1</t>
        </is>
      </c>
      <c r="D12" s="4" t="inlineStr">
        <is>
          <t>En los últimos 6 meses, ¿qué porcentaje de incidentes RELEVANTES tiene documento de lecciones aprendidas?</t>
        </is>
      </c>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row>
    <row r="13">
      <c r="A13" s="8" t="inlineStr">
        <is>
          <t>R12</t>
        </is>
      </c>
      <c r="B13" s="9" t="inlineStr">
        <is>
          <t>I04</t>
        </is>
      </c>
      <c r="C13" s="9" t="inlineStr">
        <is>
          <t>G1</t>
        </is>
      </c>
      <c r="D13" s="4" t="inlineStr">
        <is>
          <t>En el último trimestre, ¿cuántas ACCIONES CORRECTIVAS se implementaron derivadas de incidentes?</t>
        </is>
      </c>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row>
    <row r="14">
      <c r="A14" s="8" t="inlineStr">
        <is>
          <t>R13</t>
        </is>
      </c>
      <c r="B14" s="9" t="inlineStr">
        <is>
          <t>I04</t>
        </is>
      </c>
      <c r="C14" s="9" t="inlineStr">
        <is>
          <t>G1</t>
        </is>
      </c>
      <c r="D14" s="4" t="inlineStr">
        <is>
          <t>En el último trimestre, ¿qué porcentaje de acciones correctivas se implementó DENTRO DEL PLAZO comprometido?</t>
        </is>
      </c>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row>
    <row r="15">
      <c r="A15" s="8" t="inlineStr">
        <is>
          <t>R14</t>
        </is>
      </c>
      <c r="B15" s="9" t="inlineStr">
        <is>
          <t>I05</t>
        </is>
      </c>
      <c r="C15" s="9" t="inlineStr">
        <is>
          <t>G2</t>
        </is>
      </c>
      <c r="D15" s="4" t="inlineStr">
        <is>
          <t>En los últimos 6 meses, ¿qué porcentaje de evidencias tiene IDENTIFICADOR único y VERIFICACIÓN de integridad (código/hash)?</t>
        </is>
      </c>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row>
    <row r="16">
      <c r="A16" s="8" t="inlineStr">
        <is>
          <t>R15</t>
        </is>
      </c>
      <c r="B16" s="9" t="inlineStr">
        <is>
          <t>I05</t>
        </is>
      </c>
      <c r="C16" s="9" t="inlineStr">
        <is>
          <t>G2</t>
        </is>
      </c>
      <c r="D16" s="4" t="inlineStr">
        <is>
          <t>En los últimos 6 meses, ¿qué porcentaje de TRASPASOS de evidencia tiene cadena de custodia COMPLETA (fecha, hora, responsable y firma)?</t>
        </is>
      </c>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row>
    <row r="17">
      <c r="A17" s="8" t="inlineStr">
        <is>
          <t>R16</t>
        </is>
      </c>
      <c r="B17" s="9" t="inlineStr">
        <is>
          <t>I05</t>
        </is>
      </c>
      <c r="C17" s="9" t="inlineStr">
        <is>
          <t>G2</t>
        </is>
      </c>
      <c r="D17" s="4" t="inlineStr">
        <is>
          <t>En los últimos 6 meses, ¿cuál fue el TIEMPO MÁXIMO para el 95 % de traspasos en ser registrados desde que ocurrieron?</t>
        </is>
      </c>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row>
    <row r="18">
      <c r="A18" s="8" t="inlineStr">
        <is>
          <t>R17</t>
        </is>
      </c>
      <c r="B18" s="9" t="inlineStr">
        <is>
          <t>I06</t>
        </is>
      </c>
      <c r="C18" s="9" t="inlineStr">
        <is>
          <t>G2</t>
        </is>
      </c>
      <c r="D18" s="4" t="inlineStr">
        <is>
          <t>En el último mes, ¿cuántos RESPALDOS completos se realizaron del repositorio de evidencias?</t>
        </is>
      </c>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row>
    <row r="19">
      <c r="A19" s="8" t="inlineStr">
        <is>
          <t>R18</t>
        </is>
      </c>
      <c r="B19" s="9" t="inlineStr">
        <is>
          <t>I06</t>
        </is>
      </c>
      <c r="C19" s="9" t="inlineStr">
        <is>
          <t>G2</t>
        </is>
      </c>
      <c r="D19" s="4" t="inlineStr">
        <is>
          <t>En los últimos 6 meses, ¿qué porcentaje de respaldos pasó la VERIFICACIÓN de integridad?</t>
        </is>
      </c>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row>
    <row r="20">
      <c r="A20" s="8" t="inlineStr">
        <is>
          <t>R19</t>
        </is>
      </c>
      <c r="B20" s="9" t="inlineStr">
        <is>
          <t>I06</t>
        </is>
      </c>
      <c r="C20" s="9" t="inlineStr">
        <is>
          <t>G2</t>
        </is>
      </c>
      <c r="D20" s="4" t="inlineStr">
        <is>
          <t>En los últimos 6 meses, ¿cuántas PRUEBAS de restauración exitosas se ejecutaron?</t>
        </is>
      </c>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row>
    <row r="21">
      <c r="A21" s="8" t="inlineStr">
        <is>
          <t>R20</t>
        </is>
      </c>
      <c r="B21" s="9" t="inlineStr">
        <is>
          <t>I07</t>
        </is>
      </c>
      <c r="C21" s="9" t="inlineStr">
        <is>
          <t>G2</t>
        </is>
      </c>
      <c r="D21" s="4" t="inlineStr">
        <is>
          <t>¿Cuál es el TIEMPO DE RETENCIÓN definido (en meses) para evidencias digitales según la política vigente?</t>
        </is>
      </c>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row>
    <row r="22">
      <c r="A22" s="8" t="inlineStr">
        <is>
          <t>R21</t>
        </is>
      </c>
      <c r="B22" s="9" t="inlineStr">
        <is>
          <t>I07</t>
        </is>
      </c>
      <c r="C22" s="9" t="inlineStr">
        <is>
          <t>G2</t>
        </is>
      </c>
      <c r="D22" s="4" t="inlineStr">
        <is>
          <t>En los últimos 6 meses, ¿qué porcentaje de SOLICITUDES de acceso a evidencias se resolvió dentro del tiempo objetivo del procedimiento?</t>
        </is>
      </c>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row>
    <row r="23">
      <c r="A23" s="8" t="inlineStr">
        <is>
          <t>R22</t>
        </is>
      </c>
      <c r="B23" s="9" t="inlineStr">
        <is>
          <t>I08</t>
        </is>
      </c>
      <c r="C23" s="9" t="inlineStr">
        <is>
          <t>G3</t>
        </is>
      </c>
      <c r="D23" s="4" t="inlineStr">
        <is>
          <t>En el último mes, ¿qué porcentaje de CUENTAS activas fue revisado respecto del total?</t>
        </is>
      </c>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row>
    <row r="24">
      <c r="A24" s="8" t="inlineStr">
        <is>
          <t>R23</t>
        </is>
      </c>
      <c r="B24" s="9" t="inlineStr">
        <is>
          <t>I08</t>
        </is>
      </c>
      <c r="C24" s="9" t="inlineStr">
        <is>
          <t>G3</t>
        </is>
      </c>
      <c r="D24" s="4" t="inlineStr">
        <is>
          <t>En el último mes, ¿cuántas CUENTAS con privilegios en exceso fueron removidas?</t>
        </is>
      </c>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row>
    <row r="25">
      <c r="A25" s="8" t="inlineStr">
        <is>
          <t>R24</t>
        </is>
      </c>
      <c r="B25" s="9" t="inlineStr">
        <is>
          <t>I08</t>
        </is>
      </c>
      <c r="C25" s="9" t="inlineStr">
        <is>
          <t>G3</t>
        </is>
      </c>
      <c r="D25" s="4" t="inlineStr">
        <is>
          <t>En el último trimestre, ¿qué porcentaje de ALTAS/BAJAS se registró con ticket y aprobación formal?</t>
        </is>
      </c>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row>
    <row r="26">
      <c r="A26" s="8" t="inlineStr">
        <is>
          <t>R25</t>
        </is>
      </c>
      <c r="B26" s="9" t="inlineStr">
        <is>
          <t>I09</t>
        </is>
      </c>
      <c r="C26" s="9" t="inlineStr">
        <is>
          <t>G3</t>
        </is>
      </c>
      <c r="D26" s="4" t="inlineStr">
        <is>
          <t>En los últimos 3 meses, ¿qué porcentaje de CAMBIOS fue revisado por otra persona antes de publicar?</t>
        </is>
      </c>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row>
    <row r="27">
      <c r="A27" s="8" t="inlineStr">
        <is>
          <t>R26</t>
        </is>
      </c>
      <c r="B27" s="9" t="inlineStr">
        <is>
          <t>I09</t>
        </is>
      </c>
      <c r="C27" s="9" t="inlineStr">
        <is>
          <t>G3</t>
        </is>
      </c>
      <c r="D27" s="4" t="inlineStr">
        <is>
          <t>En los últimos 3 meses, ¿qué porcentaje de CANALES de publicación cuenta con pruebas automáticas que bloquean errores?</t>
        </is>
      </c>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row>
    <row r="28">
      <c r="A28" s="8" t="inlineStr">
        <is>
          <t>R27</t>
        </is>
      </c>
      <c r="B28" s="9" t="inlineStr">
        <is>
          <t>I09</t>
        </is>
      </c>
      <c r="C28" s="9" t="inlineStr">
        <is>
          <t>G3</t>
        </is>
      </c>
      <c r="D28" s="4" t="inlineStr">
        <is>
          <t>En los últimos 3 meses, ¿cuál fue el TIEMPO PROMEDIO (en días) para corregir hallazgos críticos desde su registro?</t>
        </is>
      </c>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row>
    <row r="29">
      <c r="A29" s="8" t="inlineStr">
        <is>
          <t>R28</t>
        </is>
      </c>
      <c r="B29" s="9" t="inlineStr">
        <is>
          <t>I10</t>
        </is>
      </c>
      <c r="C29" s="9" t="inlineStr">
        <is>
          <t>G3</t>
        </is>
      </c>
      <c r="D29" s="4" t="inlineStr">
        <is>
          <t>En el último mes, ¿cuántos ESCANEOS de vulnerabilidades se realizaron sobre sistemas en producción?</t>
        </is>
      </c>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row>
    <row r="30">
      <c r="A30" s="8" t="inlineStr">
        <is>
          <t>R29</t>
        </is>
      </c>
      <c r="B30" s="9" t="inlineStr">
        <is>
          <t>I10</t>
        </is>
      </c>
      <c r="C30" s="9" t="inlineStr">
        <is>
          <t>G3</t>
        </is>
      </c>
      <c r="D30" s="4" t="inlineStr">
        <is>
          <t>En los últimos 3 meses, ¿qué porcentaje de VULNERABILIDADES CRÍTICAS se corrigió dentro del plazo (SLA) definido?</t>
        </is>
      </c>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row>
    <row r="31">
      <c r="A31" s="8" t="inlineStr">
        <is>
          <t>R30</t>
        </is>
      </c>
      <c r="B31" s="9" t="inlineStr">
        <is>
          <t>I10</t>
        </is>
      </c>
      <c r="C31" s="9" t="inlineStr">
        <is>
          <t>G3</t>
        </is>
      </c>
      <c r="D31" s="4" t="inlineStr">
        <is>
          <t>En los últimos 3 meses, ¿cuál fue el TIEMPO PROMEDIO de corrección considerando todas las severidades?</t>
        </is>
      </c>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row>
    <row r="32">
      <c r="A32" s="8" t="inlineStr">
        <is>
          <t>R31</t>
        </is>
      </c>
      <c r="B32" s="9" t="inlineStr">
        <is>
          <t>I11</t>
        </is>
      </c>
      <c r="C32" s="9" t="inlineStr">
        <is>
          <t>G3</t>
        </is>
      </c>
      <c r="D32" s="4" t="inlineStr">
        <is>
          <t>En los últimos 30 días, ¿qué porcentaje de FUENTES de registros mantuvo la sincronización horaria activa?</t>
        </is>
      </c>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row>
    <row r="33">
      <c r="A33" s="8" t="inlineStr">
        <is>
          <t>R32</t>
        </is>
      </c>
      <c r="B33" s="9" t="inlineStr">
        <is>
          <t>I11</t>
        </is>
      </c>
      <c r="C33" s="9" t="inlineStr">
        <is>
          <t>G3</t>
        </is>
      </c>
      <c r="D33" s="4" t="inlineStr">
        <is>
          <t>En los últimos 30 días, ¿qué porcentaje de REGISTROS se almacenó en un repositorio inalterable (solo lectura o inmutable)?</t>
        </is>
      </c>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row>
    <row r="34">
      <c r="A34" s="8" t="inlineStr">
        <is>
          <t>R33</t>
        </is>
      </c>
      <c r="B34" s="9" t="inlineStr">
        <is>
          <t>I11</t>
        </is>
      </c>
      <c r="C34" s="9" t="inlineStr">
        <is>
          <t>G3</t>
        </is>
      </c>
      <c r="D34" s="4" t="inlineStr">
        <is>
          <t>¿Cuál es el tiempo de RETENCIÓN (en meses) establecido para los registros operativos?</t>
        </is>
      </c>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row>
    <row r="35">
      <c r="A35" s="8" t="inlineStr">
        <is>
          <t>R34</t>
        </is>
      </c>
      <c r="B35" s="9" t="inlineStr">
        <is>
          <t>I12</t>
        </is>
      </c>
      <c r="C35" s="9" t="inlineStr">
        <is>
          <t>G4</t>
        </is>
      </c>
      <c r="D35" s="4" t="inlineStr">
        <is>
          <t>En los últimos 12 meses, ¿qué porcentaje de ACTIVOS CRÍTICOS tiene evaluación de riesgos vigente?</t>
        </is>
      </c>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row>
    <row r="36">
      <c r="A36" s="8" t="inlineStr">
        <is>
          <t>R35</t>
        </is>
      </c>
      <c r="B36" s="9" t="inlineStr">
        <is>
          <t>I12</t>
        </is>
      </c>
      <c r="C36" s="9" t="inlineStr">
        <is>
          <t>G4</t>
        </is>
      </c>
      <c r="D36" s="4" t="inlineStr">
        <is>
          <t>En los últimos 12 meses, ¿cuántas REEVALUACIONES de riesgos se realizaron sobre activos críticos?</t>
        </is>
      </c>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row>
    <row r="37">
      <c r="A37" s="8" t="inlineStr">
        <is>
          <t>R36</t>
        </is>
      </c>
      <c r="B37" s="9" t="inlineStr">
        <is>
          <t>I12</t>
        </is>
      </c>
      <c r="C37" s="9" t="inlineStr">
        <is>
          <t>G4</t>
        </is>
      </c>
      <c r="D37" s="4" t="inlineStr">
        <is>
          <t>En los últimos 12 meses, ¿qué porcentaje de RIESGOS ALTOS tiene plan de tratamiento ACTIVO?</t>
        </is>
      </c>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row>
    <row r="38">
      <c r="A38" s="8" t="inlineStr">
        <is>
          <t>R37</t>
        </is>
      </c>
      <c r="B38" s="9" t="inlineStr">
        <is>
          <t>I13</t>
        </is>
      </c>
      <c r="C38" s="9" t="inlineStr">
        <is>
          <t>G4</t>
        </is>
      </c>
      <c r="D38" s="4" t="inlineStr">
        <is>
          <t>En los últimos 12 meses, ¿qué porcentaje de PERSONAL recibió capacitación en seguridad digital?</t>
        </is>
      </c>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row>
    <row r="39">
      <c r="A39" s="8" t="inlineStr">
        <is>
          <t>R38</t>
        </is>
      </c>
      <c r="B39" s="9" t="inlineStr">
        <is>
          <t>I13</t>
        </is>
      </c>
      <c r="C39" s="9" t="inlineStr">
        <is>
          <t>G4</t>
        </is>
      </c>
      <c r="D39" s="4" t="inlineStr">
        <is>
          <t>En el último trimestre, ¿cuántas SESIONES de capacitación se impartieron?</t>
        </is>
      </c>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row>
    <row r="40">
      <c r="A40" s="8" t="inlineStr">
        <is>
          <t>R39</t>
        </is>
      </c>
      <c r="B40" s="9" t="inlineStr">
        <is>
          <t>I13</t>
        </is>
      </c>
      <c r="C40" s="9" t="inlineStr">
        <is>
          <t>G4</t>
        </is>
      </c>
      <c r="D40" s="4" t="inlineStr">
        <is>
          <t>En los últimos 12 meses, ¿cuál fue el PUNTAJE PROMEDIO (0–100) de las evaluaciones post-capacitación?</t>
        </is>
      </c>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row>
    <row r="41">
      <c r="A41" s="8" t="inlineStr">
        <is>
          <t>R40</t>
        </is>
      </c>
      <c r="B41" s="9" t="inlineStr">
        <is>
          <t>I14</t>
        </is>
      </c>
      <c r="C41" s="9" t="inlineStr">
        <is>
          <t>G4</t>
        </is>
      </c>
      <c r="D41" s="4" t="inlineStr">
        <is>
          <t>En el último mes, ¿cuántos INDICADORES de seguridad fueron revisados en comité?</t>
        </is>
      </c>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row>
    <row r="42">
      <c r="A42" s="8" t="inlineStr">
        <is>
          <t>R41</t>
        </is>
      </c>
      <c r="B42" s="9" t="inlineStr">
        <is>
          <t>I14</t>
        </is>
      </c>
      <c r="C42" s="9" t="inlineStr">
        <is>
          <t>G4</t>
        </is>
      </c>
      <c r="D42" s="4" t="inlineStr">
        <is>
          <t>En el último trimestre, ¿qué porcentaje de CONTROLES se ajustó como resultado de las revisiones?</t>
        </is>
      </c>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row>
    <row r="43">
      <c r="A43" s="8" t="inlineStr">
        <is>
          <t>R42</t>
        </is>
      </c>
      <c r="B43" s="9" t="inlineStr">
        <is>
          <t>I14</t>
        </is>
      </c>
      <c r="C43" s="9" t="inlineStr">
        <is>
          <t>G4</t>
        </is>
      </c>
      <c r="D43" s="4" t="inlineStr">
        <is>
          <t>En el último trimestre, ¿qué porcentaje de los procesos de seguridad cuenta con métricas o indicadores formalmente definidos y revisados periódicamente?</t>
        </is>
      </c>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row>
    <row r="44">
      <c r="D44" s="8" t="inlineStr">
        <is>
          <t>Total de puntos del respondente (sobre 168)</t>
        </is>
      </c>
      <c r="E44" s="11">
        <f>SUM(E2:E43)</f>
        <v/>
      </c>
      <c r="F44" s="11">
        <f>SUM(F2:F43)</f>
        <v/>
      </c>
      <c r="G44" s="11">
        <f>SUM(G2:G43)</f>
        <v/>
      </c>
      <c r="H44" s="11">
        <f>SUM(H2:H43)</f>
        <v/>
      </c>
      <c r="I44" s="11">
        <f>SUM(I2:I43)</f>
        <v/>
      </c>
      <c r="J44" s="11">
        <f>SUM(J2:J43)</f>
        <v/>
      </c>
      <c r="K44" s="11">
        <f>SUM(K2:K43)</f>
        <v/>
      </c>
      <c r="L44" s="11">
        <f>SUM(L2:L43)</f>
        <v/>
      </c>
      <c r="M44" s="11">
        <f>SUM(M2:M43)</f>
        <v/>
      </c>
      <c r="N44" s="11">
        <f>SUM(N2:N43)</f>
        <v/>
      </c>
      <c r="O44" s="11">
        <f>SUM(O2:O43)</f>
        <v/>
      </c>
      <c r="P44" s="11">
        <f>SUM(P2:P43)</f>
        <v/>
      </c>
      <c r="Q44" s="11">
        <f>SUM(Q2:Q43)</f>
        <v/>
      </c>
      <c r="R44" s="11">
        <f>SUM(R2:R43)</f>
        <v/>
      </c>
      <c r="S44" s="11">
        <f>SUM(S2:S43)</f>
        <v/>
      </c>
      <c r="T44" s="11">
        <f>SUM(T2:T43)</f>
        <v/>
      </c>
      <c r="U44" s="11">
        <f>SUM(U2:U43)</f>
        <v/>
      </c>
      <c r="V44" s="11">
        <f>SUM(V2:V43)</f>
        <v/>
      </c>
      <c r="W44" s="11">
        <f>SUM(W2:W43)</f>
        <v/>
      </c>
      <c r="X44" s="11">
        <f>SUM(X2:X43)</f>
        <v/>
      </c>
      <c r="Y44" s="11">
        <f>SUM(Y2:Y43)</f>
        <v/>
      </c>
      <c r="Z44" s="11">
        <f>SUM(Z2:Z43)</f>
        <v/>
      </c>
      <c r="AA44" s="11">
        <f>SUM(AA2:AA43)</f>
        <v/>
      </c>
      <c r="AB44" s="11">
        <f>SUM(AB2:AB43)</f>
        <v/>
      </c>
      <c r="AC44" s="11">
        <f>SUM(AC2:AC43)</f>
        <v/>
      </c>
      <c r="AD44" s="11">
        <f>SUM(AD2:AD43)</f>
        <v/>
      </c>
      <c r="AE44" s="11">
        <f>SUM(AE2:AE43)</f>
        <v/>
      </c>
      <c r="AF44" s="11">
        <f>SUM(AF2:AF43)</f>
        <v/>
      </c>
      <c r="AG44" s="11">
        <f>SUM(AG2:AG43)</f>
        <v/>
      </c>
      <c r="AH44" s="11">
        <f>SUM(AH2:AH43)</f>
        <v/>
      </c>
    </row>
  </sheetData>
  <dataValidations count="1">
    <dataValidation sqref="E2:AH43" showDropDown="0" showInputMessage="0" showErrorMessage="1" allowBlank="1" errorTitle="Valor fuera de rango" error="Escriba un numero entero de 0 a 4." type="whole" operator="between">
      <formula1>0</formula1>
      <formula2>4</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5" customWidth="1" min="3" max="3"/>
    <col width="15" customWidth="1" min="4" max="4"/>
    <col width="15" customWidth="1" min="5" max="5"/>
    <col width="12" customWidth="1" min="6" max="6"/>
    <col width="14" customWidth="1" min="7" max="7"/>
    <col width="14" customWidth="1" min="8" max="8"/>
  </cols>
  <sheetData>
    <row r="1" ht="32" customHeight="1">
      <c r="A1" s="5" t="inlineStr">
        <is>
          <t>Instr.</t>
        </is>
      </c>
      <c r="B1" s="5" t="inlineStr">
        <is>
          <t>Denominacion</t>
        </is>
      </c>
      <c r="C1" s="5" t="inlineStr">
        <is>
          <t>Puntaje de la muestra</t>
        </is>
      </c>
      <c r="D1" s="5" t="inlineStr">
        <is>
          <t>Puntaje maximo</t>
        </is>
      </c>
      <c r="E1" s="5" t="inlineStr">
        <is>
          <t>% de cumplimiento</t>
        </is>
      </c>
      <c r="F1" s="5" t="inlineStr">
        <is>
          <t>Nivel</t>
        </is>
      </c>
      <c r="G1" s="5" t="inlineStr">
        <is>
          <t>% del pretest</t>
        </is>
      </c>
      <c r="H1" s="5" t="inlineStr">
        <is>
          <t>Diferencia en puntos</t>
        </is>
      </c>
    </row>
    <row r="2">
      <c r="A2" s="8" t="inlineStr">
        <is>
          <t>I01</t>
        </is>
      </c>
      <c r="B2" s="4" t="inlineStr">
        <is>
          <t>Instrumento 1</t>
        </is>
      </c>
      <c r="C2" s="6">
        <f>SUM(Matriz!E2:AH5)/30</f>
        <v/>
      </c>
      <c r="D2" s="6" t="n">
        <v>16</v>
      </c>
      <c r="E2" s="12">
        <f>IF(D2=0,0,C2/D2*100)</f>
        <v/>
      </c>
      <c r="F2" s="6">
        <f>IF(E2="","",IF(E2&lt;=25,"Inicial",IF(E2&lt;=50,"Basico",IF(E2&lt;=75,"Gestionado","Optimizado"))))</f>
        <v/>
      </c>
      <c r="G2" s="12" t="n">
        <v>48.54</v>
      </c>
      <c r="H2" s="12">
        <f>IF(E2="","",E2-G2)</f>
        <v/>
      </c>
    </row>
    <row r="3">
      <c r="A3" s="8" t="inlineStr">
        <is>
          <t>I02</t>
        </is>
      </c>
      <c r="B3" s="4" t="inlineStr">
        <is>
          <t>Instrumento 2</t>
        </is>
      </c>
      <c r="C3" s="6">
        <f>SUM(Matriz!E6:AH8)/30</f>
        <v/>
      </c>
      <c r="D3" s="6" t="n">
        <v>12</v>
      </c>
      <c r="E3" s="12">
        <f>IF(D3=0,0,C3/D3*100)</f>
        <v/>
      </c>
      <c r="F3" s="6">
        <f>IF(E3="","",IF(E3&lt;=25,"Inicial",IF(E3&lt;=50,"Basico",IF(E3&lt;=75,"Gestionado","Optimizado"))))</f>
        <v/>
      </c>
      <c r="G3" s="12" t="n">
        <v>56.94</v>
      </c>
      <c r="H3" s="12">
        <f>IF(E3="","",E3-G3)</f>
        <v/>
      </c>
    </row>
    <row r="4">
      <c r="A4" s="8" t="inlineStr">
        <is>
          <t>I03</t>
        </is>
      </c>
      <c r="B4" s="4" t="inlineStr">
        <is>
          <t>Instrumento 3</t>
        </is>
      </c>
      <c r="C4" s="6">
        <f>SUM(Matriz!E9:AH11)/30</f>
        <v/>
      </c>
      <c r="D4" s="6" t="n">
        <v>12</v>
      </c>
      <c r="E4" s="12">
        <f>IF(D4=0,0,C4/D4*100)</f>
        <v/>
      </c>
      <c r="F4" s="6">
        <f>IF(E4="","",IF(E4&lt;=25,"Inicial",IF(E4&lt;=50,"Basico",IF(E4&lt;=75,"Gestionado","Optimizado"))))</f>
        <v/>
      </c>
      <c r="G4" s="12" t="n">
        <v>58.06</v>
      </c>
      <c r="H4" s="12">
        <f>IF(E4="","",E4-G4)</f>
        <v/>
      </c>
    </row>
    <row r="5">
      <c r="A5" s="8" t="inlineStr">
        <is>
          <t>I04</t>
        </is>
      </c>
      <c r="B5" s="4" t="inlineStr">
        <is>
          <t>Instrumento 4</t>
        </is>
      </c>
      <c r="C5" s="6">
        <f>SUM(Matriz!E12:AH14)/30</f>
        <v/>
      </c>
      <c r="D5" s="6" t="n">
        <v>12</v>
      </c>
      <c r="E5" s="12">
        <f>IF(D5=0,0,C5/D5*100)</f>
        <v/>
      </c>
      <c r="F5" s="6">
        <f>IF(E5="","",IF(E5&lt;=25,"Inicial",IF(E5&lt;=50,"Basico",IF(E5&lt;=75,"Gestionado","Optimizado"))))</f>
        <v/>
      </c>
      <c r="G5" s="12" t="n">
        <v>49.17</v>
      </c>
      <c r="H5" s="12">
        <f>IF(E5="","",E5-G5)</f>
        <v/>
      </c>
    </row>
    <row r="6">
      <c r="A6" s="8" t="inlineStr">
        <is>
          <t>I05</t>
        </is>
      </c>
      <c r="B6" s="4" t="inlineStr">
        <is>
          <t>Instrumento 5</t>
        </is>
      </c>
      <c r="C6" s="6">
        <f>SUM(Matriz!E15:AH17)/30</f>
        <v/>
      </c>
      <c r="D6" s="6" t="n">
        <v>12</v>
      </c>
      <c r="E6" s="12">
        <f>IF(D6=0,0,C6/D6*100)</f>
        <v/>
      </c>
      <c r="F6" s="6">
        <f>IF(E6="","",IF(E6&lt;=25,"Inicial",IF(E6&lt;=50,"Basico",IF(E6&lt;=75,"Gestionado","Optimizado"))))</f>
        <v/>
      </c>
      <c r="G6" s="12" t="n">
        <v>57.22</v>
      </c>
      <c r="H6" s="12">
        <f>IF(E6="","",E6-G6)</f>
        <v/>
      </c>
    </row>
    <row r="7">
      <c r="A7" s="8" t="inlineStr">
        <is>
          <t>I06</t>
        </is>
      </c>
      <c r="B7" s="4" t="inlineStr">
        <is>
          <t>Instrumento 6</t>
        </is>
      </c>
      <c r="C7" s="6">
        <f>SUM(Matriz!E18:AH20)/30</f>
        <v/>
      </c>
      <c r="D7" s="6" t="n">
        <v>12</v>
      </c>
      <c r="E7" s="12">
        <f>IF(D7=0,0,C7/D7*100)</f>
        <v/>
      </c>
      <c r="F7" s="6">
        <f>IF(E7="","",IF(E7&lt;=25,"Inicial",IF(E7&lt;=50,"Basico",IF(E7&lt;=75,"Gestionado","Optimizado"))))</f>
        <v/>
      </c>
      <c r="G7" s="12" t="n">
        <v>58.33</v>
      </c>
      <c r="H7" s="12">
        <f>IF(E7="","",E7-G7)</f>
        <v/>
      </c>
    </row>
    <row r="8">
      <c r="A8" s="8" t="inlineStr">
        <is>
          <t>I07</t>
        </is>
      </c>
      <c r="B8" s="4" t="inlineStr">
        <is>
          <t>Instrumento 7</t>
        </is>
      </c>
      <c r="C8" s="6">
        <f>SUM(Matriz!E21:AH22)/30</f>
        <v/>
      </c>
      <c r="D8" s="6" t="n">
        <v>8</v>
      </c>
      <c r="E8" s="12">
        <f>IF(D8=0,0,C8/D8*100)</f>
        <v/>
      </c>
      <c r="F8" s="6">
        <f>IF(E8="","",IF(E8&lt;=25,"Inicial",IF(E8&lt;=50,"Basico",IF(E8&lt;=75,"Gestionado","Optimizado"))))</f>
        <v/>
      </c>
      <c r="G8" s="12" t="n">
        <v>47.92</v>
      </c>
      <c r="H8" s="12">
        <f>IF(E8="","",E8-G8)</f>
        <v/>
      </c>
    </row>
    <row r="9">
      <c r="A9" s="8" t="inlineStr">
        <is>
          <t>I08</t>
        </is>
      </c>
      <c r="B9" s="4" t="inlineStr">
        <is>
          <t>Instrumento 8</t>
        </is>
      </c>
      <c r="C9" s="6">
        <f>SUM(Matriz!E23:AH25)/30</f>
        <v/>
      </c>
      <c r="D9" s="6" t="n">
        <v>12</v>
      </c>
      <c r="E9" s="12">
        <f>IF(D9=0,0,C9/D9*100)</f>
        <v/>
      </c>
      <c r="F9" s="6">
        <f>IF(E9="","",IF(E9&lt;=25,"Inicial",IF(E9&lt;=50,"Basico",IF(E9&lt;=75,"Gestionado","Optimizado"))))</f>
        <v/>
      </c>
      <c r="G9" s="12" t="n">
        <v>49.72</v>
      </c>
      <c r="H9" s="12">
        <f>IF(E9="","",E9-G9)</f>
        <v/>
      </c>
    </row>
    <row r="10">
      <c r="A10" s="8" t="inlineStr">
        <is>
          <t>I09</t>
        </is>
      </c>
      <c r="B10" s="4" t="inlineStr">
        <is>
          <t>Instrumento 9</t>
        </is>
      </c>
      <c r="C10" s="6">
        <f>SUM(Matriz!E26:AH28)/30</f>
        <v/>
      </c>
      <c r="D10" s="6" t="n">
        <v>12</v>
      </c>
      <c r="E10" s="12">
        <f>IF(D10=0,0,C10/D10*100)</f>
        <v/>
      </c>
      <c r="F10" s="6">
        <f>IF(E10="","",IF(E10&lt;=25,"Inicial",IF(E10&lt;=50,"Basico",IF(E10&lt;=75,"Gestionado","Optimizado"))))</f>
        <v/>
      </c>
      <c r="G10" s="12" t="n">
        <v>53.06</v>
      </c>
      <c r="H10" s="12">
        <f>IF(E10="","",E10-G10)</f>
        <v/>
      </c>
    </row>
    <row r="11">
      <c r="A11" s="8" t="inlineStr">
        <is>
          <t>I10</t>
        </is>
      </c>
      <c r="B11" s="4" t="inlineStr">
        <is>
          <t>Instrumento 10</t>
        </is>
      </c>
      <c r="C11" s="6">
        <f>SUM(Matriz!E29:AH31)/30</f>
        <v/>
      </c>
      <c r="D11" s="6" t="n">
        <v>12</v>
      </c>
      <c r="E11" s="12">
        <f>IF(D11=0,0,C11/D11*100)</f>
        <v/>
      </c>
      <c r="F11" s="6">
        <f>IF(E11="","",IF(E11&lt;=25,"Inicial",IF(E11&lt;=50,"Basico",IF(E11&lt;=75,"Gestionado","Optimizado"))))</f>
        <v/>
      </c>
      <c r="G11" s="12" t="n">
        <v>50.56</v>
      </c>
      <c r="H11" s="12">
        <f>IF(E11="","",E11-G11)</f>
        <v/>
      </c>
    </row>
    <row r="12">
      <c r="A12" s="8" t="inlineStr">
        <is>
          <t>I11</t>
        </is>
      </c>
      <c r="B12" s="4" t="inlineStr">
        <is>
          <t>Instrumento 11</t>
        </is>
      </c>
      <c r="C12" s="6">
        <f>SUM(Matriz!E32:AH34)/30</f>
        <v/>
      </c>
      <c r="D12" s="6" t="n">
        <v>12</v>
      </c>
      <c r="E12" s="12">
        <f>IF(D12=0,0,C12/D12*100)</f>
        <v/>
      </c>
      <c r="F12" s="6">
        <f>IF(E12="","",IF(E12&lt;=25,"Inicial",IF(E12&lt;=50,"Basico",IF(E12&lt;=75,"Gestionado","Optimizado"))))</f>
        <v/>
      </c>
      <c r="G12" s="12" t="n">
        <v>52.78</v>
      </c>
      <c r="H12" s="12">
        <f>IF(E12="","",E12-G12)</f>
        <v/>
      </c>
    </row>
    <row r="13">
      <c r="A13" s="8" t="inlineStr">
        <is>
          <t>I12</t>
        </is>
      </c>
      <c r="B13" s="4" t="inlineStr">
        <is>
          <t>Instrumento 12</t>
        </is>
      </c>
      <c r="C13" s="6">
        <f>SUM(Matriz!E35:AH37)/30</f>
        <v/>
      </c>
      <c r="D13" s="6" t="n">
        <v>12</v>
      </c>
      <c r="E13" s="12">
        <f>IF(D13=0,0,C13/D13*100)</f>
        <v/>
      </c>
      <c r="F13" s="6">
        <f>IF(E13="","",IF(E13&lt;=25,"Inicial",IF(E13&lt;=50,"Basico",IF(E13&lt;=75,"Gestionado","Optimizado"))))</f>
        <v/>
      </c>
      <c r="G13" s="12" t="n">
        <v>53.89</v>
      </c>
      <c r="H13" s="12">
        <f>IF(E13="","",E13-G13)</f>
        <v/>
      </c>
    </row>
    <row r="14">
      <c r="A14" s="8" t="inlineStr">
        <is>
          <t>I13</t>
        </is>
      </c>
      <c r="B14" s="4" t="inlineStr">
        <is>
          <t>Instrumento 13</t>
        </is>
      </c>
      <c r="C14" s="6">
        <f>SUM(Matriz!E38:AH40)/30</f>
        <v/>
      </c>
      <c r="D14" s="6" t="n">
        <v>12</v>
      </c>
      <c r="E14" s="12">
        <f>IF(D14=0,0,C14/D14*100)</f>
        <v/>
      </c>
      <c r="F14" s="6">
        <f>IF(E14="","",IF(E14&lt;=25,"Inicial",IF(E14&lt;=50,"Basico",IF(E14&lt;=75,"Gestionado","Optimizado"))))</f>
        <v/>
      </c>
      <c r="G14" s="12" t="n">
        <v>47.78</v>
      </c>
      <c r="H14" s="12">
        <f>IF(E14="","",E14-G14)</f>
        <v/>
      </c>
    </row>
    <row r="15">
      <c r="A15" s="8" t="inlineStr">
        <is>
          <t>I14</t>
        </is>
      </c>
      <c r="B15" s="4" t="inlineStr">
        <is>
          <t>Instrumento 14</t>
        </is>
      </c>
      <c r="C15" s="6">
        <f>SUM(Matriz!E41:AH43)/30</f>
        <v/>
      </c>
      <c r="D15" s="6" t="n">
        <v>12</v>
      </c>
      <c r="E15" s="12">
        <f>IF(D15=0,0,C15/D15*100)</f>
        <v/>
      </c>
      <c r="F15" s="6">
        <f>IF(E15="","",IF(E15&lt;=25,"Inicial",IF(E15&lt;=50,"Basico",IF(E15&lt;=75,"Gestionado","Optimizado"))))</f>
        <v/>
      </c>
      <c r="G15" s="12" t="n">
        <v>53.89</v>
      </c>
      <c r="H15" s="12">
        <f>IF(E15="","",E15-G15)</f>
        <v/>
      </c>
    </row>
    <row r="17">
      <c r="B17" s="8" t="inlineStr">
        <is>
          <t>Madurez global (promedio de los 14 instrumentos)</t>
        </is>
      </c>
      <c r="E17" s="13">
        <f>AVERAGE(E2:E15)</f>
        <v/>
      </c>
      <c r="F17" s="14">
        <f>IF(E17="","",IF(E17&lt;=25,"Inicial",IF(E17&lt;=50,"Basico",IF(E17&lt;=75,"Gestionado","Optimizado"))))</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 customWidth="1" min="1" max="1"/>
    <col width="38" customWidth="1" min="2" max="2"/>
    <col width="18" customWidth="1" min="3" max="3"/>
    <col width="14" customWidth="1" min="4" max="4"/>
    <col width="14" customWidth="1" min="5" max="5"/>
  </cols>
  <sheetData>
    <row r="1" ht="30" customHeight="1">
      <c r="A1" s="5" t="inlineStr">
        <is>
          <t>Grupo</t>
        </is>
      </c>
      <c r="B1" s="5" t="inlineStr">
        <is>
          <t>Denominacion</t>
        </is>
      </c>
      <c r="C1" s="5" t="inlineStr">
        <is>
          <t>Instrumentos</t>
        </is>
      </c>
      <c r="D1" s="5" t="inlineStr">
        <is>
          <t>% de cumplimiento</t>
        </is>
      </c>
      <c r="E1" s="5" t="inlineStr">
        <is>
          <t>% del pretest</t>
        </is>
      </c>
    </row>
    <row r="2">
      <c r="A2" s="6" t="inlineStr">
        <is>
          <t>G1</t>
        </is>
      </c>
      <c r="B2" s="15" t="inlineStr">
        <is>
          <t>Gestion de incidentes</t>
        </is>
      </c>
      <c r="C2" s="6" t="inlineStr">
        <is>
          <t>I01, I02, I03, I04</t>
        </is>
      </c>
      <c r="D2" s="12">
        <f>AVERAGE('Por instrumento'!E2,'Por instrumento'!E3,'Por instrumento'!E4,'Por instrumento'!E5)</f>
        <v/>
      </c>
      <c r="E2" s="12" t="n">
        <v>53.18</v>
      </c>
    </row>
    <row r="3">
      <c r="A3" s="6" t="inlineStr">
        <is>
          <t>G2</t>
        </is>
      </c>
      <c r="B3" s="15" t="inlineStr">
        <is>
          <t>Evidencias y respaldo</t>
        </is>
      </c>
      <c r="C3" s="6" t="inlineStr">
        <is>
          <t>I05, I06, I07</t>
        </is>
      </c>
      <c r="D3" s="12">
        <f>AVERAGE('Por instrumento'!E6,'Por instrumento'!E7,'Por instrumento'!E8)</f>
        <v/>
      </c>
      <c r="E3" s="12" t="n">
        <v>54.49</v>
      </c>
    </row>
    <row r="4">
      <c r="A4" s="6" t="inlineStr">
        <is>
          <t>G3</t>
        </is>
      </c>
      <c r="B4" s="15" t="inlineStr">
        <is>
          <t>Controles tecnicos</t>
        </is>
      </c>
      <c r="C4" s="6" t="inlineStr">
        <is>
          <t>I08, I09, I10</t>
        </is>
      </c>
      <c r="D4" s="12">
        <f>AVERAGE('Por instrumento'!E9,'Por instrumento'!E10,'Por instrumento'!E11)</f>
        <v/>
      </c>
      <c r="E4" s="12" t="n">
        <v>51.53</v>
      </c>
    </row>
    <row r="5">
      <c r="A5" s="6" t="inlineStr">
        <is>
          <t>G4</t>
        </is>
      </c>
      <c r="B5" s="15" t="inlineStr">
        <is>
          <t>Gestion organizacional y mejora</t>
        </is>
      </c>
      <c r="C5" s="6" t="inlineStr">
        <is>
          <t>I11, I12, I13, I14</t>
        </is>
      </c>
      <c r="D5" s="12">
        <f>AVERAGE('Por instrumento'!E12,'Por instrumento'!E13,'Por instrumento'!E14,'Por instrumento'!E15)</f>
        <v/>
      </c>
      <c r="E5" s="12" t="n">
        <v>51.85</v>
      </c>
    </row>
    <row r="7">
      <c r="B7" s="8" t="inlineStr">
        <is>
          <t>Amplitud entre el grupo mas alto y el mas bajo</t>
        </is>
      </c>
      <c r="D7" s="12">
        <f>MAX(D2:D5)-MIN(D2:D5)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2" customWidth="1" min="1" max="1"/>
    <col width="18" customWidth="1" min="2" max="2"/>
    <col width="46" customWidth="1" min="3" max="3"/>
  </cols>
  <sheetData>
    <row r="1">
      <c r="A1" s="5" t="inlineStr">
        <is>
          <t>Indicador</t>
        </is>
      </c>
      <c r="B1" s="5" t="inlineStr">
        <is>
          <t>Valor</t>
        </is>
      </c>
      <c r="C1" s="5" t="inlineStr">
        <is>
          <t>Origen</t>
        </is>
      </c>
    </row>
    <row r="2">
      <c r="A2" s="15" t="inlineStr">
        <is>
          <t>Reactivos del instrumento</t>
        </is>
      </c>
      <c r="B2" s="16" t="n">
        <v>42</v>
      </c>
      <c r="C2" s="17" t="inlineStr">
        <is>
          <t>Hoja Matriz</t>
        </is>
      </c>
    </row>
    <row r="3">
      <c r="A3" s="15" t="inlineStr">
        <is>
          <t>Instrumentos</t>
        </is>
      </c>
      <c r="B3" s="16" t="n">
        <v>14</v>
      </c>
      <c r="C3" s="17" t="inlineStr">
        <is>
          <t>Hoja Por instrumento</t>
        </is>
      </c>
    </row>
    <row r="4">
      <c r="A4" s="15" t="inlineStr">
        <is>
          <t>Respondentes previstos</t>
        </is>
      </c>
      <c r="B4" s="16" t="n">
        <v>30</v>
      </c>
      <c r="C4" s="17" t="inlineStr">
        <is>
          <t>Hoja Registro</t>
        </is>
      </c>
    </row>
    <row r="5">
      <c r="A5" s="15" t="inlineStr">
        <is>
          <t>Respondentes con respuesta completa</t>
        </is>
      </c>
      <c r="B5" s="18">
        <f>SUMPRODUCT(--(COUNTIF(OFFSET(Matriz!E2,0,0,42,30),Matriz!E2:E42)=42))</f>
        <v/>
      </c>
      <c r="C5" s="17" t="inlineStr">
        <is>
          <t>Cuenta los respondentes que completaron los 42 reactivos</t>
        </is>
      </c>
    </row>
    <row r="6">
      <c r="A6" s="15" t="inlineStr">
        <is>
          <t>Madurez global del postest</t>
        </is>
      </c>
      <c r="B6" s="16">
        <f>'Por instrumento'!E16</f>
        <v/>
      </c>
      <c r="C6" s="17" t="inlineStr">
        <is>
          <t>Promedio de los catorce instrumentos</t>
        </is>
      </c>
    </row>
    <row r="7">
      <c r="A7" s="15" t="inlineStr">
        <is>
          <t>Nivel de madurez del postest</t>
        </is>
      </c>
      <c r="B7" s="18">
        <f>'Por instrumento'!F16</f>
        <v/>
      </c>
      <c r="C7" s="17" t="inlineStr">
        <is>
          <t>Corte de la ficha tecnica</t>
        </is>
      </c>
    </row>
    <row r="8">
      <c r="A8" s="15" t="inlineStr">
        <is>
          <t>Madurez global del pretest</t>
        </is>
      </c>
      <c r="B8" s="16" t="n">
        <v>52.7</v>
      </c>
      <c r="C8" s="17" t="inlineStr">
        <is>
          <t>Apartado 4.1 del marco practico</t>
        </is>
      </c>
    </row>
    <row r="9">
      <c r="A9" s="15" t="inlineStr">
        <is>
          <t>Diferencia en puntos porcentuales</t>
        </is>
      </c>
      <c r="B9" s="18" t="n"/>
      <c r="C9" s="17" t="inlineStr">
        <is>
          <t>Postest menos pretest</t>
        </is>
      </c>
    </row>
    <row r="10">
      <c r="A10" s="15" t="inlineStr">
        <is>
          <t>Alfa de Cronbach del postest</t>
        </is>
      </c>
      <c r="B10" s="18">
        <f>Fiabilidad!B3</f>
        <v/>
      </c>
      <c r="C10" s="17" t="inlineStr">
        <is>
          <t>Hoja Fiabilidad</t>
        </is>
      </c>
    </row>
    <row r="11">
      <c r="A11" s="15" t="inlineStr">
        <is>
          <t>Alfa de Cronbach del pretest</t>
        </is>
      </c>
      <c r="B11" s="19" t="n">
        <v>0.869</v>
      </c>
      <c r="C11" s="17" t="inlineStr">
        <is>
          <t>Apartado 4.1.2.2 del marco practico</t>
        </is>
      </c>
    </row>
    <row r="12">
      <c r="A12" s="15" t="inlineStr">
        <is>
          <t>Instrumentos en nivel Basico</t>
        </is>
      </c>
      <c r="B12" s="18">
        <f>COUNTIF('Por instrumento'!F2:F15,"Basico")</f>
        <v/>
      </c>
      <c r="C12" s="17" t="inlineStr">
        <is>
          <t>Hoja Por instrumento</t>
        </is>
      </c>
    </row>
    <row r="13">
      <c r="A13" s="15" t="inlineStr">
        <is>
          <t>Instrumentos en nivel Gestionado</t>
        </is>
      </c>
      <c r="B13" s="18">
        <f>COUNTIF('Por instrumento'!F2:F15,"Gestionado")</f>
        <v/>
      </c>
      <c r="C13" s="17" t="inlineStr">
        <is>
          <t>Hoja Por instrumento</t>
        </is>
      </c>
    </row>
    <row r="14">
      <c r="A14" s="15" t="inlineStr">
        <is>
          <t>Instrumentos en nivel Optimizado</t>
        </is>
      </c>
      <c r="B14" s="18">
        <f>COUNTIF('Por instrumento'!F2:F15,"Optimizado")</f>
        <v/>
      </c>
      <c r="C14" s="17" t="inlineStr">
        <is>
          <t>Hoja Por instrumento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18" customWidth="1" min="2" max="2"/>
    <col width="60" customWidth="1" min="3" max="3"/>
  </cols>
  <sheetData>
    <row r="1">
      <c r="A1" s="20" t="inlineStr">
        <is>
          <t>Alfa de Cronbach sobre los 42 reactivos</t>
        </is>
      </c>
    </row>
    <row r="3">
      <c r="A3" s="15" t="inlineStr">
        <is>
          <t>Numero de reactivos (k)</t>
        </is>
      </c>
      <c r="B3" s="21" t="n">
        <v>42</v>
      </c>
    </row>
    <row r="4">
      <c r="A4" s="15" t="inlineStr">
        <is>
          <t>Numero de respondentes (n)</t>
        </is>
      </c>
      <c r="B4" s="21" t="n">
        <v>30</v>
      </c>
    </row>
    <row r="5">
      <c r="A5" s="15" t="inlineStr">
        <is>
          <t>Suma de las varianzas de los reactivos</t>
        </is>
      </c>
      <c r="B5" s="22">
        <f>SUMPRODUCT(VAR.S(Matriz!E2:AH43))</f>
        <v/>
      </c>
    </row>
    <row r="6">
      <c r="A6" s="15" t="inlineStr">
        <is>
          <t>Varianza de la suma total por respondente</t>
        </is>
      </c>
      <c r="B6" s="22">
        <f>VAR.S(Matriz!E44:AH44)</f>
        <v/>
      </c>
    </row>
    <row r="7">
      <c r="A7" s="23" t="inlineStr">
        <is>
          <t>Alfa de Cronbach</t>
        </is>
      </c>
      <c r="B7" s="22">
        <f>(B4/(B4-1))*(1-B5/B6)</f>
        <v/>
      </c>
    </row>
    <row r="8">
      <c r="A8" s="15" t="inlineStr">
        <is>
          <t>Interpretacion</t>
        </is>
      </c>
      <c r="B8" s="24" t="inlineStr">
        <is>
          <t>Por encima de 0,70 se considera aceptable; por encima de 0,80, buena.</t>
        </is>
      </c>
    </row>
    <row r="11">
      <c r="A11" s="8" t="inlineStr">
        <is>
          <t>Nota</t>
        </is>
      </c>
    </row>
    <row r="12">
      <c r="A12" s="25" t="inlineStr">
        <is>
          <t>El alfa se calcula sobre la matriz de respuestas crudas, con el valor de 0 a 4 de cada reactivo. Si el numero de respondentes cambia, la hoja B4 debe ajustarse a mano.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2026-10-14T17:44:59Z</dcterms:created>
  <dcterms:modified xmlns:dcterms="http://purl.org/dc/terms/" xmlns:xsi="http://www.w3.org/2001/XMLSchema-instance" xsi:type="dcterms:W3CDTF">2026-10-14T17:44:59Z</dcterms:modified>
</cp:coreProperties>
</file>